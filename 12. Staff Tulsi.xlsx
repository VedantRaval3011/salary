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127" i="1" l="1"/>
  <c r="AA127" i="1"/>
  <c r="Z127" i="1"/>
  <c r="X127" i="1"/>
  <c r="W127" i="1"/>
  <c r="AD126" i="1"/>
  <c r="AC126" i="1"/>
  <c r="AB126" i="1"/>
  <c r="U126" i="1"/>
  <c r="T126" i="1"/>
  <c r="R126" i="1"/>
  <c r="Y126" i="1" s="1"/>
  <c r="Q126" i="1"/>
  <c r="O126" i="1" s="1"/>
  <c r="S126" i="1" s="1"/>
  <c r="V126" i="1" s="1"/>
  <c r="P126" i="1"/>
  <c r="AC125" i="1"/>
  <c r="AD125" i="1" s="1"/>
  <c r="Q125" i="1"/>
  <c r="AD124" i="1"/>
  <c r="AC124" i="1"/>
  <c r="AB124" i="1"/>
  <c r="U124" i="1"/>
  <c r="R124" i="1"/>
  <c r="Y124" i="1" s="1"/>
  <c r="Q124" i="1"/>
  <c r="O124" i="1" s="1"/>
  <c r="S124" i="1" s="1"/>
  <c r="P124" i="1"/>
  <c r="AC123" i="1"/>
  <c r="AD123" i="1" s="1"/>
  <c r="Q123" i="1"/>
  <c r="AD122" i="1"/>
  <c r="AC122" i="1"/>
  <c r="AB122" i="1"/>
  <c r="U122" i="1"/>
  <c r="T122" i="1"/>
  <c r="R122" i="1"/>
  <c r="Y122" i="1" s="1"/>
  <c r="Q122" i="1"/>
  <c r="O122" i="1" s="1"/>
  <c r="S122" i="1" s="1"/>
  <c r="V122" i="1" s="1"/>
  <c r="P122" i="1"/>
  <c r="AC121" i="1"/>
  <c r="AD121" i="1" s="1"/>
  <c r="Q121" i="1"/>
  <c r="AD120" i="1"/>
  <c r="AC120" i="1"/>
  <c r="U120" i="1"/>
  <c r="R120" i="1"/>
  <c r="Q120" i="1"/>
  <c r="O120" i="1" s="1"/>
  <c r="S120" i="1" s="1"/>
  <c r="P120" i="1"/>
  <c r="AC119" i="1"/>
  <c r="AD119" i="1" s="1"/>
  <c r="Q119" i="1"/>
  <c r="AD118" i="1"/>
  <c r="AC118" i="1"/>
  <c r="U118" i="1"/>
  <c r="T118" i="1"/>
  <c r="R118" i="1"/>
  <c r="Q118" i="1"/>
  <c r="O118" i="1" s="1"/>
  <c r="S118" i="1" s="1"/>
  <c r="V118" i="1" s="1"/>
  <c r="P118" i="1"/>
  <c r="AC117" i="1"/>
  <c r="AD117" i="1" s="1"/>
  <c r="Q117" i="1"/>
  <c r="AD116" i="1"/>
  <c r="AC116" i="1"/>
  <c r="U116" i="1"/>
  <c r="R116" i="1"/>
  <c r="Q116" i="1"/>
  <c r="O116" i="1" s="1"/>
  <c r="S116" i="1" s="1"/>
  <c r="P116" i="1"/>
  <c r="AC115" i="1"/>
  <c r="AD115" i="1" s="1"/>
  <c r="Q115" i="1"/>
  <c r="AD114" i="1"/>
  <c r="AC114" i="1"/>
  <c r="U114" i="1"/>
  <c r="T114" i="1"/>
  <c r="R114" i="1"/>
  <c r="Q114" i="1"/>
  <c r="O114" i="1" s="1"/>
  <c r="S114" i="1" s="1"/>
  <c r="V114" i="1" s="1"/>
  <c r="P114" i="1"/>
  <c r="AC113" i="1"/>
  <c r="AD113" i="1" s="1"/>
  <c r="Q113" i="1"/>
  <c r="AD112" i="1"/>
  <c r="AC112" i="1"/>
  <c r="AB112" i="1"/>
  <c r="U112" i="1"/>
  <c r="R112" i="1"/>
  <c r="Y112" i="1" s="1"/>
  <c r="Q112" i="1"/>
  <c r="O112" i="1" s="1"/>
  <c r="S112" i="1" s="1"/>
  <c r="P112" i="1"/>
  <c r="AC111" i="1"/>
  <c r="AD111" i="1" s="1"/>
  <c r="Q111" i="1"/>
  <c r="AD110" i="1"/>
  <c r="AC110" i="1"/>
  <c r="AB110" i="1"/>
  <c r="U110" i="1"/>
  <c r="T110" i="1"/>
  <c r="R110" i="1"/>
  <c r="Y110" i="1" s="1"/>
  <c r="Q110" i="1"/>
  <c r="O110" i="1" s="1"/>
  <c r="S110" i="1" s="1"/>
  <c r="V110" i="1" s="1"/>
  <c r="P110" i="1"/>
  <c r="AC109" i="1"/>
  <c r="AD109" i="1" s="1"/>
  <c r="Q109" i="1"/>
  <c r="AD108" i="1"/>
  <c r="AC108" i="1"/>
  <c r="AB108" i="1"/>
  <c r="U108" i="1"/>
  <c r="R108" i="1"/>
  <c r="Y108" i="1" s="1"/>
  <c r="Q108" i="1"/>
  <c r="O108" i="1" s="1"/>
  <c r="S108" i="1" s="1"/>
  <c r="P108" i="1"/>
  <c r="K108" i="1"/>
  <c r="L108" i="1" s="1"/>
  <c r="H108" i="1"/>
  <c r="AD107" i="1"/>
  <c r="AC107" i="1"/>
  <c r="AB107" i="1"/>
  <c r="U107" i="1"/>
  <c r="R107" i="1"/>
  <c r="Y107" i="1" s="1"/>
  <c r="Q107" i="1"/>
  <c r="O107" i="1" s="1"/>
  <c r="S107" i="1" s="1"/>
  <c r="P107" i="1"/>
  <c r="K107" i="1"/>
  <c r="L107" i="1" s="1"/>
  <c r="H107" i="1"/>
  <c r="AB106" i="1"/>
  <c r="U106" i="1"/>
  <c r="R106" i="1"/>
  <c r="Y106" i="1" s="1"/>
  <c r="Q106" i="1"/>
  <c r="O106" i="1" s="1"/>
  <c r="S106" i="1" s="1"/>
  <c r="P106" i="1"/>
  <c r="N106" i="1"/>
  <c r="N127" i="1" s="1"/>
  <c r="L106" i="1"/>
  <c r="K106" i="1"/>
  <c r="H106" i="1"/>
  <c r="AD105" i="1"/>
  <c r="AC105" i="1"/>
  <c r="T105" i="1"/>
  <c r="Q105" i="1"/>
  <c r="P105" i="1"/>
  <c r="O105" i="1"/>
  <c r="U105" i="1" s="1"/>
  <c r="L105" i="1"/>
  <c r="K105" i="1"/>
  <c r="H105" i="1"/>
  <c r="R105" i="1" s="1"/>
  <c r="Y105" i="1" s="1"/>
  <c r="AC104" i="1"/>
  <c r="AD104" i="1" s="1"/>
  <c r="AB104" i="1"/>
  <c r="AF104" i="1" s="1"/>
  <c r="U104" i="1"/>
  <c r="S104" i="1"/>
  <c r="Q104" i="1"/>
  <c r="P104" i="1"/>
  <c r="O104" i="1"/>
  <c r="T104" i="1" s="1"/>
  <c r="K104" i="1"/>
  <c r="L104" i="1" s="1"/>
  <c r="H104" i="1"/>
  <c r="R104" i="1" s="1"/>
  <c r="Y104" i="1" s="1"/>
  <c r="A104" i="1"/>
  <c r="A105" i="1" s="1"/>
  <c r="A106" i="1" s="1"/>
  <c r="A107" i="1" s="1"/>
  <c r="A108" i="1" s="1"/>
  <c r="AC103" i="1"/>
  <c r="Q103" i="1"/>
  <c r="P103" i="1"/>
  <c r="O103" i="1"/>
  <c r="S103" i="1" s="1"/>
  <c r="K103" i="1"/>
  <c r="L103" i="1" s="1"/>
  <c r="H103" i="1"/>
  <c r="R103" i="1" s="1"/>
  <c r="AF102" i="1"/>
  <c r="AE102" i="1"/>
  <c r="AA102" i="1"/>
  <c r="Z102" i="1"/>
  <c r="AC101" i="1"/>
  <c r="AD101" i="1" s="1"/>
  <c r="Y101" i="1"/>
  <c r="T101" i="1"/>
  <c r="S101" i="1"/>
  <c r="Q101" i="1"/>
  <c r="R101" i="1" s="1"/>
  <c r="P101" i="1"/>
  <c r="O101" i="1"/>
  <c r="AC100" i="1"/>
  <c r="AD100" i="1" s="1"/>
  <c r="V100" i="1"/>
  <c r="W100" i="1" s="1"/>
  <c r="T100" i="1"/>
  <c r="S100" i="1"/>
  <c r="R100" i="1"/>
  <c r="Q100" i="1"/>
  <c r="O100" i="1" s="1"/>
  <c r="P100" i="1"/>
  <c r="AC99" i="1"/>
  <c r="AD99" i="1" s="1"/>
  <c r="W99" i="1"/>
  <c r="V99" i="1"/>
  <c r="T99" i="1"/>
  <c r="S99" i="1"/>
  <c r="R99" i="1"/>
  <c r="Q99" i="1"/>
  <c r="P99" i="1"/>
  <c r="O99" i="1"/>
  <c r="AD98" i="1"/>
  <c r="AC98" i="1"/>
  <c r="V98" i="1"/>
  <c r="W98" i="1" s="1"/>
  <c r="T98" i="1"/>
  <c r="S98" i="1"/>
  <c r="R98" i="1"/>
  <c r="Q98" i="1"/>
  <c r="O98" i="1" s="1"/>
  <c r="P98" i="1"/>
  <c r="AC97" i="1"/>
  <c r="AD97" i="1" s="1"/>
  <c r="W97" i="1"/>
  <c r="V97" i="1"/>
  <c r="T97" i="1"/>
  <c r="S97" i="1"/>
  <c r="R97" i="1"/>
  <c r="Q97" i="1"/>
  <c r="P97" i="1"/>
  <c r="O97" i="1"/>
  <c r="AD96" i="1"/>
  <c r="AC96" i="1"/>
  <c r="V96" i="1"/>
  <c r="W96" i="1" s="1"/>
  <c r="T96" i="1"/>
  <c r="S96" i="1"/>
  <c r="R96" i="1"/>
  <c r="Q96" i="1"/>
  <c r="O96" i="1" s="1"/>
  <c r="P96" i="1"/>
  <c r="AD95" i="1"/>
  <c r="AC95" i="1"/>
  <c r="V95" i="1"/>
  <c r="W95" i="1" s="1"/>
  <c r="T95" i="1"/>
  <c r="S95" i="1"/>
  <c r="R95" i="1"/>
  <c r="Q95" i="1"/>
  <c r="P95" i="1"/>
  <c r="O95" i="1"/>
  <c r="AD94" i="1"/>
  <c r="AC94" i="1"/>
  <c r="V94" i="1"/>
  <c r="W94" i="1" s="1"/>
  <c r="T94" i="1"/>
  <c r="S94" i="1"/>
  <c r="R94" i="1"/>
  <c r="Q94" i="1"/>
  <c r="O94" i="1" s="1"/>
  <c r="P94" i="1"/>
  <c r="AD93" i="1"/>
  <c r="AC93" i="1"/>
  <c r="V93" i="1"/>
  <c r="W93" i="1" s="1"/>
  <c r="T93" i="1"/>
  <c r="S93" i="1"/>
  <c r="R93" i="1"/>
  <c r="Q93" i="1"/>
  <c r="P93" i="1"/>
  <c r="O93" i="1"/>
  <c r="AD92" i="1"/>
  <c r="AC92" i="1"/>
  <c r="V92" i="1"/>
  <c r="W92" i="1" s="1"/>
  <c r="T92" i="1"/>
  <c r="S92" i="1"/>
  <c r="R92" i="1"/>
  <c r="Q92" i="1"/>
  <c r="O92" i="1" s="1"/>
  <c r="P92" i="1"/>
  <c r="AC91" i="1"/>
  <c r="AD91" i="1" s="1"/>
  <c r="W91" i="1"/>
  <c r="V91" i="1"/>
  <c r="T91" i="1"/>
  <c r="S91" i="1"/>
  <c r="R91" i="1"/>
  <c r="Q91" i="1"/>
  <c r="P91" i="1"/>
  <c r="O91" i="1"/>
  <c r="M91" i="1"/>
  <c r="K91" i="1"/>
  <c r="L91" i="1" s="1"/>
  <c r="H91" i="1"/>
  <c r="V90" i="1"/>
  <c r="W90" i="1" s="1"/>
  <c r="T90" i="1"/>
  <c r="S90" i="1"/>
  <c r="Q90" i="1"/>
  <c r="L90" i="1"/>
  <c r="M90" i="1" s="1"/>
  <c r="AC90" i="1" s="1"/>
  <c r="AD90" i="1" s="1"/>
  <c r="K90" i="1"/>
  <c r="H90" i="1"/>
  <c r="V89" i="1"/>
  <c r="W89" i="1" s="1"/>
  <c r="T89" i="1"/>
  <c r="S89" i="1"/>
  <c r="R89" i="1"/>
  <c r="U89" i="1" s="1"/>
  <c r="Q89" i="1"/>
  <c r="K89" i="1"/>
  <c r="L89" i="1" s="1"/>
  <c r="M89" i="1" s="1"/>
  <c r="AC89" i="1" s="1"/>
  <c r="AD89" i="1" s="1"/>
  <c r="H89" i="1"/>
  <c r="AC88" i="1"/>
  <c r="AD88" i="1" s="1"/>
  <c r="W88" i="1"/>
  <c r="T88" i="1"/>
  <c r="S88" i="1"/>
  <c r="V88" i="1" s="1"/>
  <c r="Q88" i="1"/>
  <c r="K88" i="1"/>
  <c r="L88" i="1" s="1"/>
  <c r="M88" i="1" s="1"/>
  <c r="H88" i="1"/>
  <c r="T87" i="1"/>
  <c r="S87" i="1"/>
  <c r="V87" i="1" s="1"/>
  <c r="W87" i="1" s="1"/>
  <c r="Q87" i="1"/>
  <c r="P87" i="1"/>
  <c r="O87" i="1"/>
  <c r="K87" i="1"/>
  <c r="L87" i="1" s="1"/>
  <c r="M87" i="1" s="1"/>
  <c r="AC87" i="1" s="1"/>
  <c r="AD87" i="1" s="1"/>
  <c r="H87" i="1"/>
  <c r="R87" i="1" s="1"/>
  <c r="T86" i="1"/>
  <c r="S86" i="1"/>
  <c r="V86" i="1" s="1"/>
  <c r="W86" i="1" s="1"/>
  <c r="Q86" i="1"/>
  <c r="P86" i="1" s="1"/>
  <c r="O86" i="1"/>
  <c r="M86" i="1"/>
  <c r="AC86" i="1" s="1"/>
  <c r="AD86" i="1" s="1"/>
  <c r="L86" i="1"/>
  <c r="K86" i="1"/>
  <c r="H86" i="1"/>
  <c r="R86" i="1" s="1"/>
  <c r="T85" i="1"/>
  <c r="V85" i="1" s="1"/>
  <c r="W85" i="1" s="1"/>
  <c r="S85" i="1"/>
  <c r="Q85" i="1"/>
  <c r="O85" i="1" s="1"/>
  <c r="P85" i="1"/>
  <c r="K85" i="1"/>
  <c r="L85" i="1" s="1"/>
  <c r="M85" i="1" s="1"/>
  <c r="AC85" i="1" s="1"/>
  <c r="AD85" i="1" s="1"/>
  <c r="H85" i="1"/>
  <c r="Y84" i="1"/>
  <c r="X84" i="1"/>
  <c r="T84" i="1"/>
  <c r="S84" i="1"/>
  <c r="Q84" i="1"/>
  <c r="P84" i="1"/>
  <c r="O84" i="1"/>
  <c r="L84" i="1"/>
  <c r="M84" i="1" s="1"/>
  <c r="AC84" i="1" s="1"/>
  <c r="AD84" i="1" s="1"/>
  <c r="K84" i="1"/>
  <c r="H84" i="1"/>
  <c r="R84" i="1" s="1"/>
  <c r="V83" i="1"/>
  <c r="W83" i="1" s="1"/>
  <c r="T83" i="1"/>
  <c r="S83" i="1"/>
  <c r="R83" i="1"/>
  <c r="Q83" i="1"/>
  <c r="P83" i="1"/>
  <c r="O83" i="1"/>
  <c r="K83" i="1"/>
  <c r="L83" i="1" s="1"/>
  <c r="M83" i="1" s="1"/>
  <c r="AC83" i="1" s="1"/>
  <c r="AD83" i="1" s="1"/>
  <c r="H83" i="1"/>
  <c r="V82" i="1"/>
  <c r="W82" i="1" s="1"/>
  <c r="T82" i="1"/>
  <c r="S82" i="1"/>
  <c r="R82" i="1"/>
  <c r="Q82" i="1"/>
  <c r="L82" i="1"/>
  <c r="M82" i="1" s="1"/>
  <c r="AC82" i="1" s="1"/>
  <c r="AD82" i="1" s="1"/>
  <c r="K82" i="1"/>
  <c r="H82" i="1"/>
  <c r="V81" i="1"/>
  <c r="W81" i="1" s="1"/>
  <c r="T81" i="1"/>
  <c r="S81" i="1"/>
  <c r="Q81" i="1"/>
  <c r="L81" i="1"/>
  <c r="M81" i="1" s="1"/>
  <c r="AC81" i="1" s="1"/>
  <c r="AD81" i="1" s="1"/>
  <c r="K81" i="1"/>
  <c r="H81" i="1"/>
  <c r="W80" i="1"/>
  <c r="T80" i="1"/>
  <c r="S80" i="1"/>
  <c r="V80" i="1" s="1"/>
  <c r="Q80" i="1"/>
  <c r="O80" i="1" s="1"/>
  <c r="P80" i="1"/>
  <c r="K80" i="1"/>
  <c r="L80" i="1" s="1"/>
  <c r="M80" i="1" s="1"/>
  <c r="AC80" i="1" s="1"/>
  <c r="AD80" i="1" s="1"/>
  <c r="H80" i="1"/>
  <c r="R80" i="1" s="1"/>
  <c r="U80" i="1" s="1"/>
  <c r="T79" i="1"/>
  <c r="S79" i="1"/>
  <c r="Q79" i="1"/>
  <c r="P79" i="1"/>
  <c r="O79" i="1"/>
  <c r="X79" i="1" s="1"/>
  <c r="K79" i="1"/>
  <c r="L79" i="1" s="1"/>
  <c r="M79" i="1" s="1"/>
  <c r="AC79" i="1" s="1"/>
  <c r="AD79" i="1" s="1"/>
  <c r="H79" i="1"/>
  <c r="R79" i="1" s="1"/>
  <c r="Y78" i="1"/>
  <c r="T78" i="1"/>
  <c r="S78" i="1"/>
  <c r="V78" i="1" s="1"/>
  <c r="W78" i="1" s="1"/>
  <c r="Q78" i="1"/>
  <c r="P78" i="1" s="1"/>
  <c r="O78" i="1"/>
  <c r="M78" i="1"/>
  <c r="AC78" i="1" s="1"/>
  <c r="AD78" i="1" s="1"/>
  <c r="L78" i="1"/>
  <c r="K78" i="1"/>
  <c r="H78" i="1"/>
  <c r="R78" i="1" s="1"/>
  <c r="T77" i="1"/>
  <c r="V77" i="1" s="1"/>
  <c r="W77" i="1" s="1"/>
  <c r="S77" i="1"/>
  <c r="Q77" i="1"/>
  <c r="K77" i="1"/>
  <c r="L77" i="1" s="1"/>
  <c r="M77" i="1" s="1"/>
  <c r="AC77" i="1" s="1"/>
  <c r="AD77" i="1" s="1"/>
  <c r="H77" i="1"/>
  <c r="X76" i="1"/>
  <c r="T76" i="1"/>
  <c r="S76" i="1"/>
  <c r="V76" i="1" s="1"/>
  <c r="W76" i="1" s="1"/>
  <c r="Q76" i="1"/>
  <c r="P76" i="1"/>
  <c r="O76" i="1"/>
  <c r="L76" i="1"/>
  <c r="M76" i="1" s="1"/>
  <c r="AC76" i="1" s="1"/>
  <c r="AD76" i="1" s="1"/>
  <c r="K76" i="1"/>
  <c r="H76" i="1"/>
  <c r="R76" i="1" s="1"/>
  <c r="Y76" i="1" s="1"/>
  <c r="AC75" i="1"/>
  <c r="AD75" i="1" s="1"/>
  <c r="X75" i="1"/>
  <c r="T75" i="1"/>
  <c r="S75" i="1"/>
  <c r="V75" i="1" s="1"/>
  <c r="W75" i="1" s="1"/>
  <c r="R75" i="1"/>
  <c r="Q75" i="1"/>
  <c r="P75" i="1"/>
  <c r="O75" i="1"/>
  <c r="M75" i="1"/>
  <c r="K75" i="1"/>
  <c r="L75" i="1" s="1"/>
  <c r="H75" i="1"/>
  <c r="V74" i="1"/>
  <c r="W74" i="1" s="1"/>
  <c r="T74" i="1"/>
  <c r="S74" i="1"/>
  <c r="R74" i="1"/>
  <c r="Q74" i="1"/>
  <c r="L74" i="1"/>
  <c r="M74" i="1" s="1"/>
  <c r="AC74" i="1" s="1"/>
  <c r="AD74" i="1" s="1"/>
  <c r="K74" i="1"/>
  <c r="H74" i="1"/>
  <c r="V73" i="1"/>
  <c r="W73" i="1" s="1"/>
  <c r="T73" i="1"/>
  <c r="S73" i="1"/>
  <c r="Q73" i="1"/>
  <c r="M73" i="1"/>
  <c r="AC73" i="1" s="1"/>
  <c r="AD73" i="1" s="1"/>
  <c r="L73" i="1"/>
  <c r="K73" i="1"/>
  <c r="H73" i="1"/>
  <c r="A73" i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W72" i="1"/>
  <c r="T72" i="1"/>
  <c r="S72" i="1"/>
  <c r="V72" i="1" s="1"/>
  <c r="Q72" i="1"/>
  <c r="K72" i="1"/>
  <c r="L72" i="1" s="1"/>
  <c r="M72" i="1" s="1"/>
  <c r="AC72" i="1" s="1"/>
  <c r="AD72" i="1" s="1"/>
  <c r="H72" i="1"/>
  <c r="V71" i="1"/>
  <c r="W71" i="1" s="1"/>
  <c r="T71" i="1"/>
  <c r="S71" i="1"/>
  <c r="N71" i="1"/>
  <c r="K71" i="1"/>
  <c r="L71" i="1" s="1"/>
  <c r="M71" i="1" s="1"/>
  <c r="H71" i="1"/>
  <c r="A71" i="1"/>
  <c r="A72" i="1" s="1"/>
  <c r="V70" i="1"/>
  <c r="T70" i="1"/>
  <c r="S70" i="1"/>
  <c r="Q70" i="1"/>
  <c r="P70" i="1"/>
  <c r="O70" i="1"/>
  <c r="K70" i="1"/>
  <c r="L70" i="1" s="1"/>
  <c r="M70" i="1" s="1"/>
  <c r="AC70" i="1" s="1"/>
  <c r="H70" i="1"/>
  <c r="R70" i="1" s="1"/>
  <c r="AF69" i="1"/>
  <c r="AE69" i="1"/>
  <c r="AA69" i="1"/>
  <c r="Z69" i="1"/>
  <c r="AD68" i="1"/>
  <c r="AC68" i="1"/>
  <c r="S68" i="1"/>
  <c r="Q68" i="1"/>
  <c r="P68" i="1" s="1"/>
  <c r="O68" i="1"/>
  <c r="AC67" i="1"/>
  <c r="AD67" i="1" s="1"/>
  <c r="Q67" i="1"/>
  <c r="AC66" i="1"/>
  <c r="AD66" i="1" s="1"/>
  <c r="Q66" i="1"/>
  <c r="P66" i="1"/>
  <c r="O66" i="1"/>
  <c r="AC65" i="1"/>
  <c r="AD65" i="1" s="1"/>
  <c r="Q65" i="1"/>
  <c r="P65" i="1" s="1"/>
  <c r="AC64" i="1"/>
  <c r="AD64" i="1" s="1"/>
  <c r="Q64" i="1"/>
  <c r="O64" i="1" s="1"/>
  <c r="P64" i="1"/>
  <c r="AC63" i="1"/>
  <c r="AD63" i="1" s="1"/>
  <c r="Q63" i="1"/>
  <c r="S62" i="1"/>
  <c r="Q62" i="1"/>
  <c r="P62" i="1"/>
  <c r="O62" i="1"/>
  <c r="K62" i="1"/>
  <c r="L62" i="1" s="1"/>
  <c r="M62" i="1" s="1"/>
  <c r="AC62" i="1" s="1"/>
  <c r="AD62" i="1" s="1"/>
  <c r="H62" i="1"/>
  <c r="N61" i="1"/>
  <c r="K61" i="1"/>
  <c r="L61" i="1" s="1"/>
  <c r="M61" i="1" s="1"/>
  <c r="H61" i="1"/>
  <c r="R60" i="1"/>
  <c r="Q60" i="1"/>
  <c r="P60" i="1" s="1"/>
  <c r="O60" i="1"/>
  <c r="U60" i="1" s="1"/>
  <c r="M60" i="1"/>
  <c r="AC60" i="1" s="1"/>
  <c r="AD60" i="1" s="1"/>
  <c r="L60" i="1"/>
  <c r="K60" i="1"/>
  <c r="H60" i="1"/>
  <c r="Q59" i="1"/>
  <c r="L59" i="1"/>
  <c r="M59" i="1" s="1"/>
  <c r="AC59" i="1" s="1"/>
  <c r="AD59" i="1" s="1"/>
  <c r="K59" i="1"/>
  <c r="H59" i="1"/>
  <c r="T58" i="1"/>
  <c r="Q58" i="1"/>
  <c r="O58" i="1" s="1"/>
  <c r="P58" i="1"/>
  <c r="K58" i="1"/>
  <c r="L58" i="1" s="1"/>
  <c r="M58" i="1" s="1"/>
  <c r="AC58" i="1" s="1"/>
  <c r="AD58" i="1" s="1"/>
  <c r="H58" i="1"/>
  <c r="S57" i="1"/>
  <c r="Q57" i="1"/>
  <c r="P57" i="1"/>
  <c r="O57" i="1"/>
  <c r="K57" i="1"/>
  <c r="L57" i="1" s="1"/>
  <c r="M57" i="1" s="1"/>
  <c r="AC57" i="1" s="1"/>
  <c r="AD57" i="1" s="1"/>
  <c r="H57" i="1"/>
  <c r="S56" i="1"/>
  <c r="Q56" i="1"/>
  <c r="P56" i="1" s="1"/>
  <c r="O56" i="1"/>
  <c r="M56" i="1"/>
  <c r="AC56" i="1" s="1"/>
  <c r="AD56" i="1" s="1"/>
  <c r="L56" i="1"/>
  <c r="K56" i="1"/>
  <c r="H56" i="1"/>
  <c r="T55" i="1"/>
  <c r="Q55" i="1"/>
  <c r="O55" i="1" s="1"/>
  <c r="S55" i="1" s="1"/>
  <c r="V55" i="1" s="1"/>
  <c r="W55" i="1" s="1"/>
  <c r="L55" i="1"/>
  <c r="M55" i="1" s="1"/>
  <c r="AC55" i="1" s="1"/>
  <c r="AD55" i="1" s="1"/>
  <c r="K55" i="1"/>
  <c r="H55" i="1"/>
  <c r="AD54" i="1"/>
  <c r="Q54" i="1"/>
  <c r="K54" i="1"/>
  <c r="L54" i="1" s="1"/>
  <c r="M54" i="1" s="1"/>
  <c r="AC54" i="1" s="1"/>
  <c r="H54" i="1"/>
  <c r="T53" i="1"/>
  <c r="Q53" i="1"/>
  <c r="P53" i="1"/>
  <c r="O53" i="1"/>
  <c r="U53" i="1" s="1"/>
  <c r="K53" i="1"/>
  <c r="L53" i="1" s="1"/>
  <c r="M53" i="1" s="1"/>
  <c r="AC53" i="1" s="1"/>
  <c r="AD53" i="1" s="1"/>
  <c r="H53" i="1"/>
  <c r="S52" i="1"/>
  <c r="V52" i="1" s="1"/>
  <c r="W52" i="1" s="1"/>
  <c r="Q52" i="1"/>
  <c r="P52" i="1" s="1"/>
  <c r="O52" i="1"/>
  <c r="T52" i="1" s="1"/>
  <c r="M52" i="1"/>
  <c r="AC52" i="1" s="1"/>
  <c r="AD52" i="1" s="1"/>
  <c r="L52" i="1"/>
  <c r="K52" i="1"/>
  <c r="H52" i="1"/>
  <c r="Q51" i="1"/>
  <c r="P51" i="1" s="1"/>
  <c r="R51" i="1" s="1"/>
  <c r="O51" i="1"/>
  <c r="S51" i="1" s="1"/>
  <c r="M51" i="1"/>
  <c r="AC51" i="1" s="1"/>
  <c r="AD51" i="1" s="1"/>
  <c r="L51" i="1"/>
  <c r="K51" i="1"/>
  <c r="H51" i="1"/>
  <c r="Q50" i="1"/>
  <c r="L50" i="1"/>
  <c r="M50" i="1" s="1"/>
  <c r="AC50" i="1" s="1"/>
  <c r="AD50" i="1" s="1"/>
  <c r="K50" i="1"/>
  <c r="H50" i="1"/>
  <c r="AD49" i="1"/>
  <c r="Q49" i="1"/>
  <c r="O49" i="1" s="1"/>
  <c r="P49" i="1"/>
  <c r="K49" i="1"/>
  <c r="L49" i="1" s="1"/>
  <c r="M49" i="1" s="1"/>
  <c r="AC49" i="1" s="1"/>
  <c r="H49" i="1"/>
  <c r="Q48" i="1"/>
  <c r="P48" i="1"/>
  <c r="O48" i="1"/>
  <c r="K48" i="1"/>
  <c r="L48" i="1" s="1"/>
  <c r="M48" i="1" s="1"/>
  <c r="AC48" i="1" s="1"/>
  <c r="AD48" i="1" s="1"/>
  <c r="H48" i="1"/>
  <c r="R47" i="1"/>
  <c r="Q47" i="1"/>
  <c r="P47" i="1" s="1"/>
  <c r="O47" i="1"/>
  <c r="U47" i="1" s="1"/>
  <c r="M47" i="1"/>
  <c r="AC47" i="1" s="1"/>
  <c r="AD47" i="1" s="1"/>
  <c r="L47" i="1"/>
  <c r="K47" i="1"/>
  <c r="H47" i="1"/>
  <c r="Q46" i="1"/>
  <c r="L46" i="1"/>
  <c r="M46" i="1" s="1"/>
  <c r="AC46" i="1" s="1"/>
  <c r="AD46" i="1" s="1"/>
  <c r="K46" i="1"/>
  <c r="H46" i="1"/>
  <c r="T45" i="1"/>
  <c r="Q45" i="1"/>
  <c r="O45" i="1" s="1"/>
  <c r="P45" i="1"/>
  <c r="K45" i="1"/>
  <c r="L45" i="1" s="1"/>
  <c r="M45" i="1" s="1"/>
  <c r="AC45" i="1" s="1"/>
  <c r="AD45" i="1" s="1"/>
  <c r="H45" i="1"/>
  <c r="S44" i="1"/>
  <c r="Q44" i="1"/>
  <c r="P44" i="1"/>
  <c r="O44" i="1"/>
  <c r="K44" i="1"/>
  <c r="L44" i="1" s="1"/>
  <c r="M44" i="1" s="1"/>
  <c r="AC44" i="1" s="1"/>
  <c r="AD44" i="1" s="1"/>
  <c r="H44" i="1"/>
  <c r="R43" i="1"/>
  <c r="Q43" i="1"/>
  <c r="P43" i="1" s="1"/>
  <c r="O43" i="1"/>
  <c r="U43" i="1" s="1"/>
  <c r="M43" i="1"/>
  <c r="AC43" i="1" s="1"/>
  <c r="AD43" i="1" s="1"/>
  <c r="L43" i="1"/>
  <c r="K43" i="1"/>
  <c r="H43" i="1"/>
  <c r="Q42" i="1"/>
  <c r="L42" i="1"/>
  <c r="M42" i="1" s="1"/>
  <c r="AC42" i="1" s="1"/>
  <c r="AD42" i="1" s="1"/>
  <c r="K42" i="1"/>
  <c r="H42" i="1"/>
  <c r="T41" i="1"/>
  <c r="Q41" i="1"/>
  <c r="O41" i="1" s="1"/>
  <c r="P41" i="1"/>
  <c r="K41" i="1"/>
  <c r="L41" i="1" s="1"/>
  <c r="M41" i="1" s="1"/>
  <c r="AC41" i="1" s="1"/>
  <c r="AD41" i="1" s="1"/>
  <c r="H41" i="1"/>
  <c r="S40" i="1"/>
  <c r="Q40" i="1"/>
  <c r="P40" i="1"/>
  <c r="O40" i="1"/>
  <c r="K40" i="1"/>
  <c r="L40" i="1" s="1"/>
  <c r="M40" i="1" s="1"/>
  <c r="AC40" i="1" s="1"/>
  <c r="AD40" i="1" s="1"/>
  <c r="H40" i="1"/>
  <c r="Q39" i="1"/>
  <c r="P39" i="1" s="1"/>
  <c r="R39" i="1" s="1"/>
  <c r="O39" i="1"/>
  <c r="U39" i="1" s="1"/>
  <c r="M39" i="1"/>
  <c r="AC39" i="1" s="1"/>
  <c r="AD39" i="1" s="1"/>
  <c r="L39" i="1"/>
  <c r="K39" i="1"/>
  <c r="H39" i="1"/>
  <c r="A39" i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Q38" i="1"/>
  <c r="L38" i="1"/>
  <c r="M38" i="1" s="1"/>
  <c r="AC38" i="1" s="1"/>
  <c r="AD38" i="1" s="1"/>
  <c r="K38" i="1"/>
  <c r="H38" i="1"/>
  <c r="A38" i="1"/>
  <c r="Q37" i="1"/>
  <c r="P37" i="1"/>
  <c r="K37" i="1"/>
  <c r="L37" i="1" s="1"/>
  <c r="M37" i="1" s="1"/>
  <c r="AC37" i="1" s="1"/>
  <c r="AD37" i="1" s="1"/>
  <c r="H37" i="1"/>
  <c r="AF36" i="1"/>
  <c r="AE36" i="1"/>
  <c r="AA36" i="1"/>
  <c r="Z36" i="1"/>
  <c r="N36" i="1"/>
  <c r="AD35" i="1"/>
  <c r="AC35" i="1"/>
  <c r="Q35" i="1"/>
  <c r="AC34" i="1"/>
  <c r="AD34" i="1" s="1"/>
  <c r="S34" i="1"/>
  <c r="Q34" i="1"/>
  <c r="P34" i="1"/>
  <c r="O34" i="1"/>
  <c r="Q33" i="1"/>
  <c r="L33" i="1"/>
  <c r="M33" i="1" s="1"/>
  <c r="AC33" i="1" s="1"/>
  <c r="AD33" i="1" s="1"/>
  <c r="K33" i="1"/>
  <c r="H33" i="1"/>
  <c r="T32" i="1"/>
  <c r="Q32" i="1"/>
  <c r="O32" i="1" s="1"/>
  <c r="P32" i="1"/>
  <c r="K32" i="1"/>
  <c r="L32" i="1" s="1"/>
  <c r="M32" i="1" s="1"/>
  <c r="AC32" i="1" s="1"/>
  <c r="AD32" i="1" s="1"/>
  <c r="H32" i="1"/>
  <c r="S31" i="1"/>
  <c r="Q31" i="1"/>
  <c r="P31" i="1"/>
  <c r="O31" i="1"/>
  <c r="K31" i="1"/>
  <c r="L31" i="1" s="1"/>
  <c r="M31" i="1" s="1"/>
  <c r="AC31" i="1" s="1"/>
  <c r="AD31" i="1" s="1"/>
  <c r="H31" i="1"/>
  <c r="Q30" i="1"/>
  <c r="P30" i="1" s="1"/>
  <c r="R30" i="1" s="1"/>
  <c r="O30" i="1"/>
  <c r="U30" i="1" s="1"/>
  <c r="M30" i="1"/>
  <c r="AC30" i="1" s="1"/>
  <c r="AD30" i="1" s="1"/>
  <c r="L30" i="1"/>
  <c r="K30" i="1"/>
  <c r="H30" i="1"/>
  <c r="Q29" i="1"/>
  <c r="L29" i="1"/>
  <c r="M29" i="1" s="1"/>
  <c r="AC29" i="1" s="1"/>
  <c r="AD29" i="1" s="1"/>
  <c r="K29" i="1"/>
  <c r="H29" i="1"/>
  <c r="Q28" i="1"/>
  <c r="O28" i="1" s="1"/>
  <c r="T28" i="1" s="1"/>
  <c r="P28" i="1"/>
  <c r="K28" i="1"/>
  <c r="L28" i="1" s="1"/>
  <c r="M28" i="1" s="1"/>
  <c r="AC28" i="1" s="1"/>
  <c r="AD28" i="1" s="1"/>
  <c r="H28" i="1"/>
  <c r="AC27" i="1"/>
  <c r="AD27" i="1" s="1"/>
  <c r="S27" i="1"/>
  <c r="Q27" i="1"/>
  <c r="P27" i="1"/>
  <c r="O27" i="1"/>
  <c r="K27" i="1"/>
  <c r="L27" i="1" s="1"/>
  <c r="M27" i="1" s="1"/>
  <c r="H27" i="1"/>
  <c r="R26" i="1"/>
  <c r="Q26" i="1"/>
  <c r="P26" i="1" s="1"/>
  <c r="O26" i="1"/>
  <c r="U26" i="1" s="1"/>
  <c r="K26" i="1"/>
  <c r="L26" i="1" s="1"/>
  <c r="M26" i="1" s="1"/>
  <c r="AC26" i="1" s="1"/>
  <c r="AD26" i="1" s="1"/>
  <c r="H26" i="1"/>
  <c r="Q25" i="1"/>
  <c r="L25" i="1"/>
  <c r="M25" i="1" s="1"/>
  <c r="AC25" i="1" s="1"/>
  <c r="AD25" i="1" s="1"/>
  <c r="K25" i="1"/>
  <c r="H25" i="1"/>
  <c r="Q24" i="1"/>
  <c r="O24" i="1" s="1"/>
  <c r="P24" i="1"/>
  <c r="K24" i="1"/>
  <c r="L24" i="1" s="1"/>
  <c r="M24" i="1" s="1"/>
  <c r="AC24" i="1" s="1"/>
  <c r="AD24" i="1" s="1"/>
  <c r="H24" i="1"/>
  <c r="S23" i="1"/>
  <c r="Q23" i="1"/>
  <c r="P23" i="1"/>
  <c r="O23" i="1"/>
  <c r="K23" i="1"/>
  <c r="L23" i="1" s="1"/>
  <c r="M23" i="1" s="1"/>
  <c r="AC23" i="1" s="1"/>
  <c r="AD23" i="1" s="1"/>
  <c r="H23" i="1"/>
  <c r="R22" i="1"/>
  <c r="Q22" i="1"/>
  <c r="P22" i="1"/>
  <c r="O22" i="1"/>
  <c r="U22" i="1" s="1"/>
  <c r="M22" i="1"/>
  <c r="AC22" i="1" s="1"/>
  <c r="AD22" i="1" s="1"/>
  <c r="K22" i="1"/>
  <c r="L22" i="1" s="1"/>
  <c r="H22" i="1"/>
  <c r="Q21" i="1"/>
  <c r="L21" i="1"/>
  <c r="M21" i="1" s="1"/>
  <c r="AC21" i="1" s="1"/>
  <c r="AD21" i="1" s="1"/>
  <c r="K21" i="1"/>
  <c r="H21" i="1"/>
  <c r="T20" i="1"/>
  <c r="Q20" i="1"/>
  <c r="O20" i="1" s="1"/>
  <c r="P20" i="1"/>
  <c r="K20" i="1"/>
  <c r="L20" i="1" s="1"/>
  <c r="M20" i="1" s="1"/>
  <c r="AC20" i="1" s="1"/>
  <c r="AD20" i="1" s="1"/>
  <c r="H20" i="1"/>
  <c r="S19" i="1"/>
  <c r="Q19" i="1"/>
  <c r="P19" i="1" s="1"/>
  <c r="O19" i="1"/>
  <c r="K19" i="1"/>
  <c r="L19" i="1" s="1"/>
  <c r="M19" i="1" s="1"/>
  <c r="AC19" i="1" s="1"/>
  <c r="AD19" i="1" s="1"/>
  <c r="H19" i="1"/>
  <c r="R18" i="1"/>
  <c r="Q18" i="1"/>
  <c r="P18" i="1"/>
  <c r="O18" i="1"/>
  <c r="U18" i="1" s="1"/>
  <c r="M18" i="1"/>
  <c r="AC18" i="1" s="1"/>
  <c r="AD18" i="1" s="1"/>
  <c r="K18" i="1"/>
  <c r="L18" i="1" s="1"/>
  <c r="H18" i="1"/>
  <c r="Q17" i="1"/>
  <c r="L17" i="1"/>
  <c r="M17" i="1" s="1"/>
  <c r="AC17" i="1" s="1"/>
  <c r="AD17" i="1" s="1"/>
  <c r="K17" i="1"/>
  <c r="H17" i="1"/>
  <c r="AD16" i="1"/>
  <c r="T16" i="1"/>
  <c r="Q16" i="1"/>
  <c r="O16" i="1" s="1"/>
  <c r="P16" i="1"/>
  <c r="K16" i="1"/>
  <c r="L16" i="1" s="1"/>
  <c r="M16" i="1" s="1"/>
  <c r="AC16" i="1" s="1"/>
  <c r="H16" i="1"/>
  <c r="AC15" i="1"/>
  <c r="AD15" i="1" s="1"/>
  <c r="Q15" i="1"/>
  <c r="P15" i="1"/>
  <c r="O15" i="1"/>
  <c r="K15" i="1"/>
  <c r="L15" i="1" s="1"/>
  <c r="M15" i="1" s="1"/>
  <c r="H15" i="1"/>
  <c r="Q14" i="1"/>
  <c r="P14" i="1" s="1"/>
  <c r="N14" i="1"/>
  <c r="K14" i="1"/>
  <c r="L14" i="1" s="1"/>
  <c r="M14" i="1" s="1"/>
  <c r="H14" i="1"/>
  <c r="Q13" i="1"/>
  <c r="P13" i="1" s="1"/>
  <c r="L13" i="1"/>
  <c r="M13" i="1" s="1"/>
  <c r="AC13" i="1" s="1"/>
  <c r="AD13" i="1" s="1"/>
  <c r="K13" i="1"/>
  <c r="H13" i="1"/>
  <c r="Q12" i="1"/>
  <c r="O12" i="1" s="1"/>
  <c r="P12" i="1"/>
  <c r="K12" i="1"/>
  <c r="L12" i="1" s="1"/>
  <c r="M12" i="1" s="1"/>
  <c r="AC12" i="1" s="1"/>
  <c r="AD12" i="1" s="1"/>
  <c r="H12" i="1"/>
  <c r="Q11" i="1"/>
  <c r="P11" i="1"/>
  <c r="O11" i="1"/>
  <c r="R11" i="1" s="1"/>
  <c r="K11" i="1"/>
  <c r="L11" i="1" s="1"/>
  <c r="M11" i="1" s="1"/>
  <c r="AC11" i="1" s="1"/>
  <c r="AD11" i="1" s="1"/>
  <c r="H11" i="1"/>
  <c r="R10" i="1"/>
  <c r="Y10" i="1" s="1"/>
  <c r="Q10" i="1"/>
  <c r="P10" i="1"/>
  <c r="O10" i="1"/>
  <c r="U10" i="1" s="1"/>
  <c r="K10" i="1"/>
  <c r="L10" i="1" s="1"/>
  <c r="M10" i="1" s="1"/>
  <c r="AC10" i="1" s="1"/>
  <c r="AD10" i="1" s="1"/>
  <c r="H10" i="1"/>
  <c r="Q9" i="1"/>
  <c r="P9" i="1" s="1"/>
  <c r="L9" i="1"/>
  <c r="M9" i="1" s="1"/>
  <c r="AC9" i="1" s="1"/>
  <c r="AD9" i="1" s="1"/>
  <c r="K9" i="1"/>
  <c r="H9" i="1"/>
  <c r="Q8" i="1"/>
  <c r="O8" i="1" s="1"/>
  <c r="P8" i="1"/>
  <c r="N8" i="1"/>
  <c r="L8" i="1"/>
  <c r="M8" i="1" s="1"/>
  <c r="K8" i="1"/>
  <c r="H8" i="1"/>
  <c r="Q7" i="1"/>
  <c r="O7" i="1" s="1"/>
  <c r="P7" i="1"/>
  <c r="K7" i="1"/>
  <c r="L7" i="1" s="1"/>
  <c r="M7" i="1" s="1"/>
  <c r="AC7" i="1" s="1"/>
  <c r="AD7" i="1" s="1"/>
  <c r="H7" i="1"/>
  <c r="Q6" i="1"/>
  <c r="P6" i="1"/>
  <c r="O6" i="1"/>
  <c r="R6" i="1" s="1"/>
  <c r="K6" i="1"/>
  <c r="L6" i="1" s="1"/>
  <c r="M6" i="1" s="1"/>
  <c r="AC6" i="1" s="1"/>
  <c r="AD6" i="1" s="1"/>
  <c r="H6" i="1"/>
  <c r="R5" i="1"/>
  <c r="Y5" i="1" s="1"/>
  <c r="Q5" i="1"/>
  <c r="P5" i="1"/>
  <c r="O5" i="1"/>
  <c r="U5" i="1" s="1"/>
  <c r="K5" i="1"/>
  <c r="L5" i="1" s="1"/>
  <c r="M5" i="1" s="1"/>
  <c r="AC5" i="1" s="1"/>
  <c r="AD5" i="1" s="1"/>
  <c r="H5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Q4" i="1"/>
  <c r="Q36" i="1" s="1"/>
  <c r="N4" i="1"/>
  <c r="K4" i="1"/>
  <c r="L4" i="1" s="1"/>
  <c r="M4" i="1" s="1"/>
  <c r="H4" i="1"/>
  <c r="Y11" i="1" l="1"/>
  <c r="X11" i="1"/>
  <c r="S7" i="1"/>
  <c r="R7" i="1"/>
  <c r="T7" i="1"/>
  <c r="U7" i="1"/>
  <c r="AC8" i="1"/>
  <c r="AD8" i="1" s="1"/>
  <c r="S12" i="1"/>
  <c r="V12" i="1" s="1"/>
  <c r="W12" i="1" s="1"/>
  <c r="R12" i="1"/>
  <c r="U12" i="1"/>
  <c r="T12" i="1"/>
  <c r="Y30" i="1"/>
  <c r="X30" i="1"/>
  <c r="Y39" i="1"/>
  <c r="X39" i="1"/>
  <c r="Y51" i="1"/>
  <c r="X51" i="1"/>
  <c r="Y6" i="1"/>
  <c r="X6" i="1"/>
  <c r="S8" i="1"/>
  <c r="R8" i="1"/>
  <c r="T8" i="1"/>
  <c r="U8" i="1"/>
  <c r="S5" i="1"/>
  <c r="T6" i="1"/>
  <c r="S10" i="1"/>
  <c r="T11" i="1"/>
  <c r="AC14" i="1"/>
  <c r="AD14" i="1" s="1"/>
  <c r="S16" i="1"/>
  <c r="V16" i="1" s="1"/>
  <c r="W16" i="1" s="1"/>
  <c r="R16" i="1"/>
  <c r="U16" i="1"/>
  <c r="R23" i="1"/>
  <c r="U23" i="1"/>
  <c r="T23" i="1"/>
  <c r="P25" i="1"/>
  <c r="O25" i="1"/>
  <c r="V31" i="1"/>
  <c r="W31" i="1" s="1"/>
  <c r="R34" i="1"/>
  <c r="U34" i="1"/>
  <c r="T34" i="1"/>
  <c r="V34" i="1" s="1"/>
  <c r="W34" i="1" s="1"/>
  <c r="V40" i="1"/>
  <c r="W40" i="1" s="1"/>
  <c r="R44" i="1"/>
  <c r="U44" i="1"/>
  <c r="T44" i="1"/>
  <c r="V44" i="1" s="1"/>
  <c r="W44" i="1" s="1"/>
  <c r="P46" i="1"/>
  <c r="O46" i="1"/>
  <c r="S49" i="1"/>
  <c r="R49" i="1"/>
  <c r="U49" i="1"/>
  <c r="R66" i="1"/>
  <c r="S66" i="1"/>
  <c r="V66" i="1" s="1"/>
  <c r="W66" i="1" s="1"/>
  <c r="U66" i="1"/>
  <c r="T66" i="1"/>
  <c r="AD70" i="1"/>
  <c r="AD102" i="1" s="1"/>
  <c r="R15" i="1"/>
  <c r="U15" i="1"/>
  <c r="T15" i="1"/>
  <c r="Y22" i="1"/>
  <c r="X22" i="1"/>
  <c r="Y43" i="1"/>
  <c r="X43" i="1"/>
  <c r="T5" i="1"/>
  <c r="U6" i="1"/>
  <c r="O9" i="1"/>
  <c r="X10" i="1"/>
  <c r="O13" i="1"/>
  <c r="O14" i="1"/>
  <c r="Y18" i="1"/>
  <c r="X18" i="1"/>
  <c r="P21" i="1"/>
  <c r="O21" i="1"/>
  <c r="S24" i="1"/>
  <c r="R24" i="1"/>
  <c r="U24" i="1"/>
  <c r="Y26" i="1"/>
  <c r="X26" i="1"/>
  <c r="V27" i="1"/>
  <c r="W27" i="1" s="1"/>
  <c r="R31" i="1"/>
  <c r="U31" i="1"/>
  <c r="T31" i="1"/>
  <c r="P33" i="1"/>
  <c r="O33" i="1"/>
  <c r="R40" i="1"/>
  <c r="U40" i="1"/>
  <c r="T40" i="1"/>
  <c r="P42" i="1"/>
  <c r="O42" i="1"/>
  <c r="S45" i="1"/>
  <c r="V45" i="1" s="1"/>
  <c r="W45" i="1" s="1"/>
  <c r="R45" i="1"/>
  <c r="U45" i="1"/>
  <c r="T49" i="1"/>
  <c r="P54" i="1"/>
  <c r="O54" i="1"/>
  <c r="P63" i="1"/>
  <c r="O63" i="1"/>
  <c r="AD103" i="1"/>
  <c r="S6" i="1"/>
  <c r="V6" i="1" s="1"/>
  <c r="W6" i="1" s="1"/>
  <c r="AB6" i="1" s="1"/>
  <c r="S11" i="1"/>
  <c r="V11" i="1" s="1"/>
  <c r="W11" i="1" s="1"/>
  <c r="AB11" i="1" s="1"/>
  <c r="P17" i="1"/>
  <c r="O17" i="1"/>
  <c r="V23" i="1"/>
  <c r="W23" i="1" s="1"/>
  <c r="S28" i="1"/>
  <c r="V28" i="1" s="1"/>
  <c r="W28" i="1" s="1"/>
  <c r="R28" i="1"/>
  <c r="U28" i="1"/>
  <c r="R48" i="1"/>
  <c r="U48" i="1"/>
  <c r="T48" i="1"/>
  <c r="P50" i="1"/>
  <c r="O50" i="1"/>
  <c r="O4" i="1"/>
  <c r="AC4" i="1"/>
  <c r="X5" i="1"/>
  <c r="T10" i="1"/>
  <c r="U11" i="1"/>
  <c r="P4" i="1"/>
  <c r="S15" i="1"/>
  <c r="V15" i="1" s="1"/>
  <c r="W15" i="1" s="1"/>
  <c r="R19" i="1"/>
  <c r="U19" i="1"/>
  <c r="T19" i="1"/>
  <c r="V19" i="1" s="1"/>
  <c r="W19" i="1" s="1"/>
  <c r="S20" i="1"/>
  <c r="V20" i="1" s="1"/>
  <c r="W20" i="1" s="1"/>
  <c r="R20" i="1"/>
  <c r="U20" i="1"/>
  <c r="T24" i="1"/>
  <c r="R27" i="1"/>
  <c r="U27" i="1"/>
  <c r="T27" i="1"/>
  <c r="P29" i="1"/>
  <c r="O29" i="1"/>
  <c r="S32" i="1"/>
  <c r="V32" i="1" s="1"/>
  <c r="W32" i="1" s="1"/>
  <c r="R32" i="1"/>
  <c r="U32" i="1"/>
  <c r="P35" i="1"/>
  <c r="O35" i="1"/>
  <c r="P38" i="1"/>
  <c r="O38" i="1"/>
  <c r="S41" i="1"/>
  <c r="V41" i="1" s="1"/>
  <c r="W41" i="1" s="1"/>
  <c r="R41" i="1"/>
  <c r="U41" i="1"/>
  <c r="Y47" i="1"/>
  <c r="X47" i="1"/>
  <c r="S48" i="1"/>
  <c r="V48" i="1" s="1"/>
  <c r="W48" i="1" s="1"/>
  <c r="Q61" i="1"/>
  <c r="AC61" i="1"/>
  <c r="AD61" i="1" s="1"/>
  <c r="AD69" i="1" s="1"/>
  <c r="N69" i="1"/>
  <c r="Y87" i="1"/>
  <c r="U87" i="1"/>
  <c r="X87" i="1"/>
  <c r="AB87" i="1" s="1"/>
  <c r="S18" i="1"/>
  <c r="S22" i="1"/>
  <c r="V22" i="1" s="1"/>
  <c r="W22" i="1" s="1"/>
  <c r="AB22" i="1" s="1"/>
  <c r="S26" i="1"/>
  <c r="V26" i="1" s="1"/>
  <c r="W26" i="1" s="1"/>
  <c r="AB26" i="1" s="1"/>
  <c r="S30" i="1"/>
  <c r="Q69" i="1"/>
  <c r="S39" i="1"/>
  <c r="S43" i="1"/>
  <c r="V43" i="1" s="1"/>
  <c r="W43" i="1" s="1"/>
  <c r="AB43" i="1" s="1"/>
  <c r="S47" i="1"/>
  <c r="T51" i="1"/>
  <c r="V51" i="1" s="1"/>
  <c r="W51" i="1" s="1"/>
  <c r="AB51" i="1" s="1"/>
  <c r="U52" i="1"/>
  <c r="U56" i="1"/>
  <c r="T56" i="1"/>
  <c r="V56" i="1" s="1"/>
  <c r="W56" i="1" s="1"/>
  <c r="R57" i="1"/>
  <c r="U57" i="1"/>
  <c r="T57" i="1"/>
  <c r="V57" i="1" s="1"/>
  <c r="W57" i="1" s="1"/>
  <c r="P59" i="1"/>
  <c r="O59" i="1"/>
  <c r="R64" i="1"/>
  <c r="T64" i="1"/>
  <c r="S64" i="1"/>
  <c r="V64" i="1" s="1"/>
  <c r="W64" i="1" s="1"/>
  <c r="O72" i="1"/>
  <c r="P72" i="1"/>
  <c r="O81" i="1"/>
  <c r="P81" i="1"/>
  <c r="R81" i="1"/>
  <c r="AB92" i="1"/>
  <c r="U92" i="1"/>
  <c r="Y92" i="1"/>
  <c r="X92" i="1"/>
  <c r="Y97" i="1"/>
  <c r="U97" i="1"/>
  <c r="X97" i="1"/>
  <c r="AB97" i="1" s="1"/>
  <c r="V103" i="1"/>
  <c r="O111" i="1"/>
  <c r="R111" i="1"/>
  <c r="P111" i="1"/>
  <c r="Y116" i="1"/>
  <c r="AB116" i="1"/>
  <c r="T18" i="1"/>
  <c r="T22" i="1"/>
  <c r="T26" i="1"/>
  <c r="T30" i="1"/>
  <c r="T39" i="1"/>
  <c r="T43" i="1"/>
  <c r="T47" i="1"/>
  <c r="U51" i="1"/>
  <c r="R53" i="1"/>
  <c r="P55" i="1"/>
  <c r="R55" i="1" s="1"/>
  <c r="U55" i="1"/>
  <c r="S58" i="1"/>
  <c r="V58" i="1" s="1"/>
  <c r="W58" i="1" s="1"/>
  <c r="R58" i="1"/>
  <c r="U58" i="1"/>
  <c r="R62" i="1"/>
  <c r="U62" i="1"/>
  <c r="T62" i="1"/>
  <c r="V62" i="1" s="1"/>
  <c r="W62" i="1" s="1"/>
  <c r="U64" i="1"/>
  <c r="P67" i="1"/>
  <c r="O67" i="1"/>
  <c r="W70" i="1"/>
  <c r="O77" i="1"/>
  <c r="R77" i="1"/>
  <c r="P77" i="1"/>
  <c r="Y82" i="1"/>
  <c r="U82" i="1"/>
  <c r="O88" i="1"/>
  <c r="P88" i="1"/>
  <c r="AB100" i="1"/>
  <c r="U100" i="1"/>
  <c r="Y100" i="1"/>
  <c r="X100" i="1"/>
  <c r="O37" i="1"/>
  <c r="R52" i="1"/>
  <c r="S53" i="1"/>
  <c r="V53" i="1" s="1"/>
  <c r="W53" i="1" s="1"/>
  <c r="R56" i="1"/>
  <c r="Y60" i="1"/>
  <c r="X60" i="1"/>
  <c r="V68" i="1"/>
  <c r="W68" i="1" s="1"/>
  <c r="Y70" i="1"/>
  <c r="U70" i="1"/>
  <c r="X70" i="1"/>
  <c r="R72" i="1"/>
  <c r="Y74" i="1"/>
  <c r="U74" i="1"/>
  <c r="Y114" i="1"/>
  <c r="AB114" i="1"/>
  <c r="S60" i="1"/>
  <c r="R68" i="1"/>
  <c r="T68" i="1"/>
  <c r="R71" i="1"/>
  <c r="O73" i="1"/>
  <c r="P73" i="1"/>
  <c r="Y83" i="1"/>
  <c r="U83" i="1"/>
  <c r="X83" i="1"/>
  <c r="AB83" i="1" s="1"/>
  <c r="X86" i="1"/>
  <c r="AB86" i="1"/>
  <c r="U86" i="1"/>
  <c r="R88" i="1"/>
  <c r="P90" i="1"/>
  <c r="O90" i="1"/>
  <c r="Y95" i="1"/>
  <c r="U95" i="1"/>
  <c r="X95" i="1"/>
  <c r="AB95" i="1" s="1"/>
  <c r="AB98" i="1"/>
  <c r="U98" i="1"/>
  <c r="Y98" i="1"/>
  <c r="X98" i="1"/>
  <c r="O109" i="1"/>
  <c r="P109" i="1"/>
  <c r="P127" i="1" s="1"/>
  <c r="R109" i="1"/>
  <c r="Y118" i="1"/>
  <c r="AB118" i="1"/>
  <c r="O123" i="1"/>
  <c r="R123" i="1"/>
  <c r="P123" i="1"/>
  <c r="T60" i="1"/>
  <c r="O65" i="1"/>
  <c r="U68" i="1"/>
  <c r="S102" i="1"/>
  <c r="R73" i="1"/>
  <c r="Y79" i="1"/>
  <c r="U79" i="1"/>
  <c r="AB79" i="1"/>
  <c r="V84" i="1"/>
  <c r="W84" i="1" s="1"/>
  <c r="AB84" i="1" s="1"/>
  <c r="Y86" i="1"/>
  <c r="O89" i="1"/>
  <c r="P89" i="1"/>
  <c r="R90" i="1"/>
  <c r="Y93" i="1"/>
  <c r="U93" i="1"/>
  <c r="X93" i="1"/>
  <c r="AB93" i="1" s="1"/>
  <c r="U96" i="1"/>
  <c r="Y96" i="1"/>
  <c r="X96" i="1"/>
  <c r="AB96" i="1" s="1"/>
  <c r="O125" i="1"/>
  <c r="P125" i="1"/>
  <c r="R125" i="1"/>
  <c r="T102" i="1"/>
  <c r="N102" i="1"/>
  <c r="Q71" i="1"/>
  <c r="AC71" i="1"/>
  <c r="AD71" i="1" s="1"/>
  <c r="P74" i="1"/>
  <c r="O74" i="1"/>
  <c r="X74" i="1" s="1"/>
  <c r="AB74" i="1" s="1"/>
  <c r="Y75" i="1"/>
  <c r="U75" i="1"/>
  <c r="AB75" i="1"/>
  <c r="AB76" i="1"/>
  <c r="U76" i="1"/>
  <c r="X78" i="1"/>
  <c r="AB78" i="1"/>
  <c r="U78" i="1"/>
  <c r="V79" i="1"/>
  <c r="W79" i="1" s="1"/>
  <c r="Y80" i="1"/>
  <c r="X80" i="1"/>
  <c r="AB80" i="1" s="1"/>
  <c r="P82" i="1"/>
  <c r="O82" i="1"/>
  <c r="X82" i="1" s="1"/>
  <c r="AB82" i="1" s="1"/>
  <c r="Y89" i="1"/>
  <c r="X89" i="1"/>
  <c r="AB89" i="1" s="1"/>
  <c r="Y91" i="1"/>
  <c r="U91" i="1"/>
  <c r="X91" i="1"/>
  <c r="AB91" i="1" s="1"/>
  <c r="U94" i="1"/>
  <c r="Y94" i="1"/>
  <c r="X94" i="1"/>
  <c r="AB94" i="1" s="1"/>
  <c r="Y99" i="1"/>
  <c r="U99" i="1"/>
  <c r="X99" i="1"/>
  <c r="AB99" i="1" s="1"/>
  <c r="U103" i="1"/>
  <c r="T103" i="1"/>
  <c r="AB105" i="1"/>
  <c r="AF105" i="1" s="1"/>
  <c r="AF127" i="1" s="1"/>
  <c r="Y120" i="1"/>
  <c r="AB120" i="1"/>
  <c r="O121" i="1"/>
  <c r="P121" i="1"/>
  <c r="R121" i="1"/>
  <c r="U84" i="1"/>
  <c r="O117" i="1"/>
  <c r="P117" i="1"/>
  <c r="R117" i="1"/>
  <c r="O119" i="1"/>
  <c r="R119" i="1"/>
  <c r="P119" i="1"/>
  <c r="V124" i="1"/>
  <c r="R85" i="1"/>
  <c r="X101" i="1"/>
  <c r="V104" i="1"/>
  <c r="O113" i="1"/>
  <c r="P113" i="1"/>
  <c r="R113" i="1"/>
  <c r="O115" i="1"/>
  <c r="R115" i="1"/>
  <c r="P115" i="1"/>
  <c r="V120" i="1"/>
  <c r="V101" i="1"/>
  <c r="Y103" i="1"/>
  <c r="S105" i="1"/>
  <c r="V105" i="1" s="1"/>
  <c r="T106" i="1"/>
  <c r="V106" i="1" s="1"/>
  <c r="AC106" i="1"/>
  <c r="AD106" i="1" s="1"/>
  <c r="T107" i="1"/>
  <c r="V107" i="1" s="1"/>
  <c r="T108" i="1"/>
  <c r="V108" i="1" s="1"/>
  <c r="T112" i="1"/>
  <c r="V112" i="1" s="1"/>
  <c r="T116" i="1"/>
  <c r="V116" i="1" s="1"/>
  <c r="T120" i="1"/>
  <c r="T124" i="1"/>
  <c r="Q127" i="1"/>
  <c r="Y73" i="1" l="1"/>
  <c r="X73" i="1"/>
  <c r="AB73" i="1" s="1"/>
  <c r="U73" i="1"/>
  <c r="U102" i="1" s="1"/>
  <c r="Y58" i="1"/>
  <c r="X58" i="1"/>
  <c r="AB58" i="1" s="1"/>
  <c r="T35" i="1"/>
  <c r="S35" i="1"/>
  <c r="V35" i="1" s="1"/>
  <c r="W35" i="1" s="1"/>
  <c r="R35" i="1"/>
  <c r="U35" i="1"/>
  <c r="Y20" i="1"/>
  <c r="X20" i="1"/>
  <c r="AB20" i="1" s="1"/>
  <c r="T50" i="1"/>
  <c r="S50" i="1"/>
  <c r="R50" i="1"/>
  <c r="U50" i="1"/>
  <c r="Y24" i="1"/>
  <c r="X24" i="1"/>
  <c r="T13" i="1"/>
  <c r="S13" i="1"/>
  <c r="U13" i="1"/>
  <c r="R13" i="1"/>
  <c r="S125" i="1"/>
  <c r="U125" i="1"/>
  <c r="T125" i="1"/>
  <c r="V60" i="1"/>
  <c r="W60" i="1" s="1"/>
  <c r="AB60" i="1" s="1"/>
  <c r="Y56" i="1"/>
  <c r="X56" i="1"/>
  <c r="AB56" i="1" s="1"/>
  <c r="T67" i="1"/>
  <c r="U67" i="1"/>
  <c r="S67" i="1"/>
  <c r="V67" i="1" s="1"/>
  <c r="W67" i="1" s="1"/>
  <c r="R67" i="1"/>
  <c r="S111" i="1"/>
  <c r="U111" i="1"/>
  <c r="T111" i="1"/>
  <c r="T127" i="1" s="1"/>
  <c r="Y81" i="1"/>
  <c r="X81" i="1"/>
  <c r="AB81" i="1"/>
  <c r="U81" i="1"/>
  <c r="V39" i="1"/>
  <c r="W39" i="1" s="1"/>
  <c r="AB39" i="1" s="1"/>
  <c r="T29" i="1"/>
  <c r="S29" i="1"/>
  <c r="V29" i="1" s="1"/>
  <c r="W29" i="1" s="1"/>
  <c r="R29" i="1"/>
  <c r="U29" i="1"/>
  <c r="Y27" i="1"/>
  <c r="X27" i="1"/>
  <c r="AB27" i="1" s="1"/>
  <c r="T17" i="1"/>
  <c r="S17" i="1"/>
  <c r="R17" i="1"/>
  <c r="U17" i="1"/>
  <c r="T42" i="1"/>
  <c r="S42" i="1"/>
  <c r="R42" i="1"/>
  <c r="U42" i="1"/>
  <c r="Y40" i="1"/>
  <c r="X40" i="1"/>
  <c r="AB40" i="1" s="1"/>
  <c r="V24" i="1"/>
  <c r="W24" i="1" s="1"/>
  <c r="AB24" i="1" s="1"/>
  <c r="Y15" i="1"/>
  <c r="X15" i="1"/>
  <c r="AB15" i="1" s="1"/>
  <c r="AC102" i="1"/>
  <c r="Y49" i="1"/>
  <c r="X49" i="1"/>
  <c r="T25" i="1"/>
  <c r="S25" i="1"/>
  <c r="R25" i="1"/>
  <c r="U25" i="1"/>
  <c r="AB23" i="1"/>
  <c r="Y23" i="1"/>
  <c r="X23" i="1"/>
  <c r="S115" i="1"/>
  <c r="V115" i="1" s="1"/>
  <c r="U115" i="1"/>
  <c r="T115" i="1"/>
  <c r="X90" i="1"/>
  <c r="Y90" i="1"/>
  <c r="AB90" i="1"/>
  <c r="U90" i="1"/>
  <c r="Y88" i="1"/>
  <c r="X88" i="1"/>
  <c r="AB88" i="1" s="1"/>
  <c r="U88" i="1"/>
  <c r="Y68" i="1"/>
  <c r="X68" i="1"/>
  <c r="AB68" i="1" s="1"/>
  <c r="Y72" i="1"/>
  <c r="U72" i="1"/>
  <c r="X72" i="1"/>
  <c r="AB72" i="1" s="1"/>
  <c r="Y64" i="1"/>
  <c r="X64" i="1"/>
  <c r="AB64" i="1" s="1"/>
  <c r="AB19" i="1"/>
  <c r="Y19" i="1"/>
  <c r="X19" i="1"/>
  <c r="Y48" i="1"/>
  <c r="AB48" i="1" s="1"/>
  <c r="X48" i="1"/>
  <c r="V10" i="1"/>
  <c r="W10" i="1" s="1"/>
  <c r="AB10" i="1" s="1"/>
  <c r="Y113" i="1"/>
  <c r="AB113" i="1"/>
  <c r="Y119" i="1"/>
  <c r="AB119" i="1"/>
  <c r="Y123" i="1"/>
  <c r="AB123" i="1" s="1"/>
  <c r="Y109" i="1"/>
  <c r="AB109" i="1"/>
  <c r="Y71" i="1"/>
  <c r="Y102" i="1" s="1"/>
  <c r="U71" i="1"/>
  <c r="AB70" i="1"/>
  <c r="Y62" i="1"/>
  <c r="X62" i="1"/>
  <c r="AB62" i="1" s="1"/>
  <c r="T59" i="1"/>
  <c r="S59" i="1"/>
  <c r="V59" i="1" s="1"/>
  <c r="W59" i="1" s="1"/>
  <c r="R59" i="1"/>
  <c r="U59" i="1"/>
  <c r="Y57" i="1"/>
  <c r="X57" i="1"/>
  <c r="AB57" i="1" s="1"/>
  <c r="V18" i="1"/>
  <c r="W18" i="1" s="1"/>
  <c r="AB18" i="1" s="1"/>
  <c r="P61" i="1"/>
  <c r="P69" i="1" s="1"/>
  <c r="O61" i="1"/>
  <c r="T38" i="1"/>
  <c r="S38" i="1"/>
  <c r="V38" i="1" s="1"/>
  <c r="W38" i="1" s="1"/>
  <c r="R38" i="1"/>
  <c r="U38" i="1"/>
  <c r="P36" i="1"/>
  <c r="AC36" i="1"/>
  <c r="AD4" i="1"/>
  <c r="AD36" i="1" s="1"/>
  <c r="Y28" i="1"/>
  <c r="X28" i="1"/>
  <c r="AB28" i="1" s="1"/>
  <c r="AC127" i="1"/>
  <c r="R54" i="1"/>
  <c r="U54" i="1"/>
  <c r="T54" i="1"/>
  <c r="S54" i="1"/>
  <c r="Y45" i="1"/>
  <c r="X45" i="1"/>
  <c r="AB45" i="1" s="1"/>
  <c r="T9" i="1"/>
  <c r="S9" i="1"/>
  <c r="V9" i="1" s="1"/>
  <c r="W9" i="1" s="1"/>
  <c r="R9" i="1"/>
  <c r="U9" i="1"/>
  <c r="AC69" i="1"/>
  <c r="X66" i="1"/>
  <c r="AB66" i="1" s="1"/>
  <c r="Y66" i="1"/>
  <c r="V49" i="1"/>
  <c r="W49" i="1" s="1"/>
  <c r="AB49" i="1" s="1"/>
  <c r="V5" i="1"/>
  <c r="W5" i="1" s="1"/>
  <c r="AB5" i="1" s="1"/>
  <c r="X8" i="1"/>
  <c r="Y8" i="1"/>
  <c r="Y7" i="1"/>
  <c r="X7" i="1"/>
  <c r="W101" i="1"/>
  <c r="AB101" i="1" s="1"/>
  <c r="U101" i="1"/>
  <c r="Y117" i="1"/>
  <c r="AB117" i="1"/>
  <c r="S121" i="1"/>
  <c r="U121" i="1"/>
  <c r="T121" i="1"/>
  <c r="S109" i="1"/>
  <c r="V109" i="1" s="1"/>
  <c r="U109" i="1"/>
  <c r="U127" i="1" s="1"/>
  <c r="T109" i="1"/>
  <c r="O69" i="1"/>
  <c r="S37" i="1"/>
  <c r="R37" i="1"/>
  <c r="U37" i="1"/>
  <c r="T37" i="1"/>
  <c r="U77" i="1"/>
  <c r="Y77" i="1"/>
  <c r="X77" i="1"/>
  <c r="AB77" i="1" s="1"/>
  <c r="Y53" i="1"/>
  <c r="X53" i="1"/>
  <c r="AB53" i="1"/>
  <c r="Y111" i="1"/>
  <c r="AB111" i="1" s="1"/>
  <c r="Y41" i="1"/>
  <c r="X41" i="1"/>
  <c r="AB41" i="1" s="1"/>
  <c r="T63" i="1"/>
  <c r="S63" i="1"/>
  <c r="V63" i="1" s="1"/>
  <c r="W63" i="1" s="1"/>
  <c r="R63" i="1"/>
  <c r="U63" i="1"/>
  <c r="Y16" i="1"/>
  <c r="X16" i="1"/>
  <c r="AB16" i="1" s="1"/>
  <c r="AB103" i="1"/>
  <c r="S117" i="1"/>
  <c r="U117" i="1"/>
  <c r="T117" i="1"/>
  <c r="Y121" i="1"/>
  <c r="AB121" i="1"/>
  <c r="R127" i="1"/>
  <c r="Y115" i="1"/>
  <c r="AB115" i="1" s="1"/>
  <c r="S113" i="1"/>
  <c r="U113" i="1"/>
  <c r="T113" i="1"/>
  <c r="U85" i="1"/>
  <c r="Y85" i="1"/>
  <c r="X85" i="1"/>
  <c r="AB85" i="1" s="1"/>
  <c r="S119" i="1"/>
  <c r="U119" i="1"/>
  <c r="T119" i="1"/>
  <c r="O127" i="1"/>
  <c r="Q102" i="1"/>
  <c r="P71" i="1"/>
  <c r="P102" i="1" s="1"/>
  <c r="O71" i="1"/>
  <c r="O102" i="1" s="1"/>
  <c r="Y125" i="1"/>
  <c r="AB125" i="1" s="1"/>
  <c r="T65" i="1"/>
  <c r="U65" i="1"/>
  <c r="S65" i="1"/>
  <c r="V65" i="1" s="1"/>
  <c r="W65" i="1" s="1"/>
  <c r="R65" i="1"/>
  <c r="S123" i="1"/>
  <c r="U123" i="1"/>
  <c r="T123" i="1"/>
  <c r="R102" i="1"/>
  <c r="X52" i="1"/>
  <c r="Y52" i="1"/>
  <c r="AB52" i="1" s="1"/>
  <c r="V102" i="1"/>
  <c r="Y55" i="1"/>
  <c r="X55" i="1"/>
  <c r="AB55" i="1" s="1"/>
  <c r="V47" i="1"/>
  <c r="W47" i="1" s="1"/>
  <c r="AB47" i="1" s="1"/>
  <c r="V30" i="1"/>
  <c r="W30" i="1" s="1"/>
  <c r="AB30" i="1" s="1"/>
  <c r="AB32" i="1"/>
  <c r="Y32" i="1"/>
  <c r="X32" i="1"/>
  <c r="O36" i="1"/>
  <c r="T4" i="1"/>
  <c r="R4" i="1"/>
  <c r="S4" i="1"/>
  <c r="U4" i="1"/>
  <c r="AD127" i="1"/>
  <c r="T33" i="1"/>
  <c r="S33" i="1"/>
  <c r="V33" i="1" s="1"/>
  <c r="W33" i="1" s="1"/>
  <c r="R33" i="1"/>
  <c r="U33" i="1"/>
  <c r="Y31" i="1"/>
  <c r="X31" i="1"/>
  <c r="AB31" i="1" s="1"/>
  <c r="T21" i="1"/>
  <c r="S21" i="1"/>
  <c r="R21" i="1"/>
  <c r="U21" i="1"/>
  <c r="T14" i="1"/>
  <c r="U14" i="1"/>
  <c r="S14" i="1"/>
  <c r="R14" i="1"/>
  <c r="T46" i="1"/>
  <c r="S46" i="1"/>
  <c r="R46" i="1"/>
  <c r="U46" i="1"/>
  <c r="AB44" i="1"/>
  <c r="Y44" i="1"/>
  <c r="X44" i="1"/>
  <c r="Y34" i="1"/>
  <c r="AB34" i="1" s="1"/>
  <c r="X34" i="1"/>
  <c r="V8" i="1"/>
  <c r="W8" i="1" s="1"/>
  <c r="AB8" i="1" s="1"/>
  <c r="X12" i="1"/>
  <c r="AB12" i="1" s="1"/>
  <c r="Y12" i="1"/>
  <c r="V7" i="1"/>
  <c r="W7" i="1" s="1"/>
  <c r="AB7" i="1" s="1"/>
  <c r="X29" i="1" l="1"/>
  <c r="Y29" i="1"/>
  <c r="AB29" i="1" s="1"/>
  <c r="X35" i="1"/>
  <c r="AB35" i="1" s="1"/>
  <c r="Y35" i="1"/>
  <c r="Y14" i="1"/>
  <c r="X14" i="1"/>
  <c r="X33" i="1"/>
  <c r="AB33" i="1"/>
  <c r="Y33" i="1"/>
  <c r="U36" i="1"/>
  <c r="X63" i="1"/>
  <c r="AB63" i="1"/>
  <c r="Y63" i="1"/>
  <c r="X9" i="1"/>
  <c r="AB9" i="1" s="1"/>
  <c r="Y9" i="1"/>
  <c r="X59" i="1"/>
  <c r="Y59" i="1"/>
  <c r="AB59" i="1" s="1"/>
  <c r="X71" i="1"/>
  <c r="X42" i="1"/>
  <c r="Y42" i="1"/>
  <c r="X17" i="1"/>
  <c r="Y17" i="1"/>
  <c r="X13" i="1"/>
  <c r="Y13" i="1"/>
  <c r="X50" i="1"/>
  <c r="AB50" i="1"/>
  <c r="Y50" i="1"/>
  <c r="T36" i="1"/>
  <c r="Y127" i="1"/>
  <c r="T69" i="1"/>
  <c r="X46" i="1"/>
  <c r="Y46" i="1"/>
  <c r="V14" i="1"/>
  <c r="W14" i="1" s="1"/>
  <c r="AB14" i="1" s="1"/>
  <c r="X21" i="1"/>
  <c r="Y21" i="1"/>
  <c r="S36" i="1"/>
  <c r="V4" i="1"/>
  <c r="V123" i="1"/>
  <c r="V113" i="1"/>
  <c r="V117" i="1"/>
  <c r="V127" i="1" s="1"/>
  <c r="Y37" i="1"/>
  <c r="X37" i="1"/>
  <c r="Y54" i="1"/>
  <c r="X54" i="1"/>
  <c r="U61" i="1"/>
  <c r="U69" i="1" s="1"/>
  <c r="T61" i="1"/>
  <c r="S61" i="1"/>
  <c r="R61" i="1"/>
  <c r="X25" i="1"/>
  <c r="Y25" i="1"/>
  <c r="V42" i="1"/>
  <c r="W42" i="1" s="1"/>
  <c r="AB42" i="1" s="1"/>
  <c r="V17" i="1"/>
  <c r="W17" i="1" s="1"/>
  <c r="AB17" i="1" s="1"/>
  <c r="V111" i="1"/>
  <c r="V50" i="1"/>
  <c r="W50" i="1" s="1"/>
  <c r="V46" i="1"/>
  <c r="W46" i="1" s="1"/>
  <c r="AB46" i="1" s="1"/>
  <c r="V21" i="1"/>
  <c r="W21" i="1" s="1"/>
  <c r="AB21" i="1" s="1"/>
  <c r="R36" i="1"/>
  <c r="Y4" i="1"/>
  <c r="X4" i="1"/>
  <c r="X36" i="1" s="1"/>
  <c r="S127" i="1"/>
  <c r="X65" i="1"/>
  <c r="Y65" i="1"/>
  <c r="AB65" i="1" s="1"/>
  <c r="V119" i="1"/>
  <c r="AB127" i="1"/>
  <c r="S69" i="1"/>
  <c r="V37" i="1"/>
  <c r="V121" i="1"/>
  <c r="V54" i="1"/>
  <c r="W54" i="1" s="1"/>
  <c r="AB54" i="1" s="1"/>
  <c r="X38" i="1"/>
  <c r="AB38" i="1"/>
  <c r="Y38" i="1"/>
  <c r="W102" i="1"/>
  <c r="V25" i="1"/>
  <c r="W25" i="1" s="1"/>
  <c r="AB25" i="1" s="1"/>
  <c r="X67" i="1"/>
  <c r="AB67" i="1" s="1"/>
  <c r="Y67" i="1"/>
  <c r="V125" i="1"/>
  <c r="V13" i="1"/>
  <c r="W13" i="1" s="1"/>
  <c r="AB13" i="1" s="1"/>
  <c r="W37" i="1" l="1"/>
  <c r="Y36" i="1"/>
  <c r="Y69" i="1"/>
  <c r="V61" i="1"/>
  <c r="W61" i="1" s="1"/>
  <c r="AB61" i="1" s="1"/>
  <c r="X69" i="1"/>
  <c r="Y61" i="1"/>
  <c r="X61" i="1"/>
  <c r="R69" i="1"/>
  <c r="W4" i="1"/>
  <c r="V36" i="1"/>
  <c r="X102" i="1"/>
  <c r="AB71" i="1"/>
  <c r="AB102" i="1" s="1"/>
  <c r="W69" i="1" l="1"/>
  <c r="AB37" i="1"/>
  <c r="AB69" i="1" s="1"/>
  <c r="V69" i="1"/>
  <c r="W36" i="1"/>
  <c r="AB4" i="1"/>
  <c r="AB36" i="1" s="1"/>
</calcChain>
</file>

<file path=xl/sharedStrings.xml><?xml version="1.0" encoding="utf-8"?>
<sst xmlns="http://schemas.openxmlformats.org/spreadsheetml/2006/main" count="219" uniqueCount="134">
  <si>
    <t>SALARY PAYABLE</t>
  </si>
  <si>
    <t>PERFOMANCE BONUS</t>
  </si>
  <si>
    <t>SR.NO.</t>
  </si>
  <si>
    <t>EMP. ID</t>
  </si>
  <si>
    <t>DEPT.</t>
  </si>
  <si>
    <t>LEA.</t>
  </si>
  <si>
    <t>EMPLOYEE NAME</t>
  </si>
  <si>
    <t>WD</t>
  </si>
  <si>
    <t>LD</t>
  </si>
  <si>
    <t>DAY</t>
  </si>
  <si>
    <t>OT</t>
  </si>
  <si>
    <t>Actual Late</t>
  </si>
  <si>
    <t>AfterC.R.</t>
  </si>
  <si>
    <t>Final Late</t>
  </si>
  <si>
    <t>Final Paid Ot</t>
  </si>
  <si>
    <t>Salary</t>
  </si>
  <si>
    <t>SALARY1</t>
  </si>
  <si>
    <t>PL Salary</t>
  </si>
  <si>
    <t>WAGES PER DAY</t>
  </si>
  <si>
    <t>GROSS SALARY</t>
  </si>
  <si>
    <t>BASIC</t>
  </si>
  <si>
    <t>D.A.</t>
  </si>
  <si>
    <t>HRA</t>
  </si>
  <si>
    <t>BASIC+   DA</t>
  </si>
  <si>
    <t>PF-12%</t>
  </si>
  <si>
    <t>ESIC   0.75%</t>
  </si>
  <si>
    <t>PROF TAX</t>
  </si>
  <si>
    <t xml:space="preserve">LOAN </t>
  </si>
  <si>
    <t>ADV/ TDS</t>
  </si>
  <si>
    <t>FINAL CHEQUE</t>
  </si>
  <si>
    <t>NET OT</t>
  </si>
  <si>
    <t>EXTRA</t>
  </si>
  <si>
    <t>REAM.</t>
  </si>
  <si>
    <t>DOJ</t>
  </si>
  <si>
    <t>S</t>
  </si>
  <si>
    <t>DIPAK MULIYA</t>
  </si>
  <si>
    <t>DARSHAN PARMAR</t>
  </si>
  <si>
    <t>JIGNESH TRIVEDI</t>
  </si>
  <si>
    <t>LALJI DABHI</t>
  </si>
  <si>
    <t>NIRAV MORASIYA</t>
  </si>
  <si>
    <t>JAYESH AAL</t>
  </si>
  <si>
    <t>RAKESH BENPIYA</t>
  </si>
  <si>
    <t>KRUSHNA PARMAR</t>
  </si>
  <si>
    <t>SANJAY RATHOD</t>
  </si>
  <si>
    <t>RAMESH KANZARIYA</t>
  </si>
  <si>
    <t>MEHUL SONAGRA</t>
  </si>
  <si>
    <t>DHARMESH BHALGAMI</t>
  </si>
  <si>
    <t>ABHAY MORI</t>
  </si>
  <si>
    <t>VISHAL DABHI</t>
  </si>
  <si>
    <t>PUNIT JOSHI</t>
  </si>
  <si>
    <t>HARSH ACHARYA</t>
  </si>
  <si>
    <t>NIRMAL PRAJAPATI</t>
  </si>
  <si>
    <t>NIPABEN SOMPURA</t>
  </si>
  <si>
    <t>VIJAY JAGANI</t>
  </si>
  <si>
    <t>KALPESH RALOLIYA</t>
  </si>
  <si>
    <t>NARESH KUKADIYA</t>
  </si>
  <si>
    <t>DEVANG RATHOD</t>
  </si>
  <si>
    <t>HARSHDEEP PANDYA</t>
  </si>
  <si>
    <t>ALPESH SABHANI</t>
  </si>
  <si>
    <t>VIJAY MUNSARA</t>
  </si>
  <si>
    <t>ABHISHEK DAVE</t>
  </si>
  <si>
    <t>NARENDRA NAKIYA</t>
  </si>
  <si>
    <t>RAMESH HADIYAL</t>
  </si>
  <si>
    <t>ALPESH PARMAR</t>
  </si>
  <si>
    <t>PRASHANT BAROLIYA</t>
  </si>
  <si>
    <t>TOTAL :-</t>
  </si>
  <si>
    <t>BALDEV PARMAR</t>
  </si>
  <si>
    <t>SANDIP MAKWANA</t>
  </si>
  <si>
    <t>SANJAY CHAUHAN</t>
  </si>
  <si>
    <t>KAUSHIK PATEL</t>
  </si>
  <si>
    <t>RAHUL GARAMBHA</t>
  </si>
  <si>
    <t>RUKIT PITALIYA</t>
  </si>
  <si>
    <t>DINESH AAL</t>
  </si>
  <si>
    <t>CHIRAG SATANI</t>
  </si>
  <si>
    <t>ULHAS MAHAJAN</t>
  </si>
  <si>
    <t>BHAVIK GHATALIYA</t>
  </si>
  <si>
    <t>NILESH CHAUHAN</t>
  </si>
  <si>
    <t>VIPUL SHIHORA</t>
  </si>
  <si>
    <t>JUNED MULTANI</t>
  </si>
  <si>
    <t>KUNAL PATIL</t>
  </si>
  <si>
    <t>ABBASH MEHDI</t>
  </si>
  <si>
    <t>RASHMIKANT RATHOD</t>
  </si>
  <si>
    <t>SHIVKUMAR KARGAVE</t>
  </si>
  <si>
    <t>16.03.25</t>
  </si>
  <si>
    <t>NILESH KANANI</t>
  </si>
  <si>
    <t>YASH KANANI</t>
  </si>
  <si>
    <t>ANURAG RABADIYA</t>
  </si>
  <si>
    <t>APPAJI KUTRE</t>
  </si>
  <si>
    <t>17.11.25</t>
  </si>
  <si>
    <t>-</t>
  </si>
  <si>
    <t>PRAKASH KANZARIYA</t>
  </si>
  <si>
    <t>ABHISHEK DESAI</t>
  </si>
  <si>
    <t>JIGAR DAVE</t>
  </si>
  <si>
    <t>TOTAL:-</t>
  </si>
  <si>
    <t>HARDIP GOBALIYA</t>
  </si>
  <si>
    <t>MANTHAN GOSWAMI</t>
  </si>
  <si>
    <t>BHAUTIK LAKUM</t>
  </si>
  <si>
    <t>SANJAY PARMAR</t>
  </si>
  <si>
    <t>AKSHAY JOSHI</t>
  </si>
  <si>
    <t>DEVENDRA KANZARIYA</t>
  </si>
  <si>
    <t>DEVARSHI VYAS</t>
  </si>
  <si>
    <t>HIREN SAPOLIYA</t>
  </si>
  <si>
    <t>VAIBHAV BHATT</t>
  </si>
  <si>
    <t>YUVRAJ ZALA</t>
  </si>
  <si>
    <t>PRASHANT JANI</t>
  </si>
  <si>
    <t>MEET DAVE</t>
  </si>
  <si>
    <t>JITENDRA PARMAR</t>
  </si>
  <si>
    <t>AKASH AGHARA</t>
  </si>
  <si>
    <t>KAYUM SHEKH</t>
  </si>
  <si>
    <t>SHUBHASH KANZARIYA</t>
  </si>
  <si>
    <t>01.10.25</t>
  </si>
  <si>
    <t>KINJAL SHAH</t>
  </si>
  <si>
    <t>HITESH KANZARIYA</t>
  </si>
  <si>
    <t>PARTH KANANI</t>
  </si>
  <si>
    <t>AJAY SATANI</t>
  </si>
  <si>
    <t>02.11.25</t>
  </si>
  <si>
    <t>CHETAN DESAI</t>
  </si>
  <si>
    <t>HEMALIBEN PANDYA</t>
  </si>
  <si>
    <t>DIVYRAJSINH MORI</t>
  </si>
  <si>
    <t>JAYESH AJMERA</t>
  </si>
  <si>
    <t>RIDDHI BHATT</t>
  </si>
  <si>
    <t>TRUPTI BHATT</t>
  </si>
  <si>
    <t xml:space="preserve">TOTAL :- </t>
  </si>
  <si>
    <t>P. OT</t>
  </si>
  <si>
    <t>10.12.25</t>
  </si>
  <si>
    <t>HARDIK KANZARIYA</t>
  </si>
  <si>
    <t>07.01.26</t>
  </si>
  <si>
    <t>DHARMESH SOLANKI</t>
  </si>
  <si>
    <t>15.01.26</t>
  </si>
  <si>
    <t>PIYUSH PATEL</t>
  </si>
  <si>
    <t>16.02.26</t>
  </si>
  <si>
    <t>PANKAJ DHOKE</t>
  </si>
  <si>
    <t>06.02.26</t>
  </si>
  <si>
    <t>SALARY FOR THE MONTH OF FEBRUARY-2026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</si>
</sst>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mbria"/>
      <family val="1"/>
    </font>
    <font>
      <b/>
      <sz val="11"/>
      <name val="Cambria"/>
      <family val="1"/>
    </font>
    <font>
      <sz val="8"/>
      <name val="Cambria"/>
      <family val="1"/>
    </font>
    <font>
      <b/>
      <sz val="10"/>
      <name val="Cambria"/>
      <family val="1"/>
    </font>
    <font>
      <b/>
      <sz val="8"/>
      <name val="Cambria"/>
      <family val="1"/>
    </font>
    <font>
      <sz val="10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2" fillId="0" borderId="1" xfId="1" applyFont="1" applyBorder="1" applyAlignment="1">
      <alignment vertical="center"/>
    </xf>
    <xf numFmtId="0" fontId="2" fillId="0" borderId="1" xfId="1" applyFont="1" applyFill="1" applyBorder="1" applyAlignment="1">
      <alignment vertical="center"/>
    </xf>
    <xf numFmtId="0" fontId="2" fillId="0" borderId="2" xfId="1" applyFont="1" applyFill="1" applyBorder="1"/>
    <xf numFmtId="0" fontId="2" fillId="0" borderId="2" xfId="1" applyFont="1" applyBorder="1" applyAlignment="1">
      <alignment horizontal="left" vertical="center"/>
    </xf>
    <xf numFmtId="0" fontId="2" fillId="0" borderId="2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vertical="center"/>
    </xf>
    <xf numFmtId="0" fontId="2" fillId="0" borderId="0" xfId="1" applyFont="1" applyAlignment="1">
      <alignment horizontal="center"/>
    </xf>
    <xf numFmtId="0" fontId="2" fillId="0" borderId="0" xfId="1" applyFont="1"/>
    <xf numFmtId="164" fontId="4" fillId="0" borderId="0" xfId="1" applyNumberFormat="1" applyFont="1" applyAlignment="1">
      <alignment horizontal="center"/>
    </xf>
    <xf numFmtId="0" fontId="2" fillId="0" borderId="1" xfId="1" applyFont="1" applyBorder="1"/>
    <xf numFmtId="0" fontId="2" fillId="0" borderId="1" xfId="1" applyFont="1" applyFill="1" applyBorder="1"/>
    <xf numFmtId="0" fontId="5" fillId="0" borderId="1" xfId="1" applyFont="1" applyFill="1" applyBorder="1" applyAlignment="1">
      <alignment horizontal="center" vertical="center"/>
    </xf>
    <xf numFmtId="0" fontId="2" fillId="0" borderId="3" xfId="1" applyFont="1" applyBorder="1"/>
    <xf numFmtId="0" fontId="2" fillId="0" borderId="4" xfId="1" applyFont="1" applyBorder="1" applyAlignment="1">
      <alignment vertical="center"/>
    </xf>
    <xf numFmtId="164" fontId="4" fillId="0" borderId="1" xfId="1" applyNumberFormat="1" applyFont="1" applyBorder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164" fontId="6" fillId="0" borderId="1" xfId="1" applyNumberFormat="1" applyFont="1" applyBorder="1" applyAlignment="1">
      <alignment horizontal="center" vertical="center" wrapText="1"/>
    </xf>
    <xf numFmtId="0" fontId="5" fillId="0" borderId="0" xfId="1" applyFont="1"/>
    <xf numFmtId="0" fontId="7" fillId="0" borderId="1" xfId="1" applyFont="1" applyFill="1" applyBorder="1" applyAlignment="1">
      <alignment horizontal="left" vertical="center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right"/>
    </xf>
    <xf numFmtId="0" fontId="5" fillId="0" borderId="1" xfId="1" applyFont="1" applyFill="1" applyBorder="1" applyAlignment="1">
      <alignment horizontal="right"/>
    </xf>
    <xf numFmtId="1" fontId="4" fillId="2" borderId="1" xfId="1" applyNumberFormat="1" applyFont="1" applyFill="1" applyBorder="1" applyAlignment="1">
      <alignment horizontal="center" vertical="center"/>
    </xf>
    <xf numFmtId="1" fontId="4" fillId="0" borderId="1" xfId="1" applyNumberFormat="1" applyFont="1" applyFill="1" applyBorder="1" applyAlignment="1">
      <alignment horizontal="center" vertical="center"/>
    </xf>
    <xf numFmtId="164" fontId="6" fillId="0" borderId="1" xfId="1" applyNumberFormat="1" applyFont="1" applyBorder="1" applyAlignment="1">
      <alignment horizontal="right"/>
    </xf>
    <xf numFmtId="0" fontId="5" fillId="0" borderId="0" xfId="1" applyFont="1" applyAlignment="1">
      <alignment horizontal="right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/>
    </xf>
    <xf numFmtId="0" fontId="2" fillId="0" borderId="0" xfId="1" applyFont="1" applyFill="1"/>
    <xf numFmtId="0" fontId="2" fillId="5" borderId="0" xfId="1" applyFont="1" applyFill="1"/>
    <xf numFmtId="164" fontId="4" fillId="0" borderId="0" xfId="1" applyNumberFormat="1" applyFont="1"/>
    <xf numFmtId="1" fontId="2" fillId="0" borderId="0" xfId="1" applyNumberFormat="1" applyFont="1"/>
    <xf numFmtId="0" fontId="5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1" fontId="5" fillId="0" borderId="0" xfId="1" applyNumberFormat="1" applyFont="1" applyAlignment="1">
      <alignment horizontal="right"/>
    </xf>
    <xf numFmtId="0" fontId="2" fillId="4" borderId="0" xfId="1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0"/>
  <sheetViews>
    <sheetView tabSelected="1" workbookViewId="0">
      <selection activeCell="M2" sqref="M2"/>
    </sheetView>
  </sheetViews>
  <sheetFormatPr defaultRowHeight="12.75" x14ac:dyDescent="0.2"/>
  <cols>
    <col min="1" max="1" width="5" style="8" bestFit="1" customWidth="1"/>
    <col min="2" max="2" width="6" style="8" bestFit="1" customWidth="1"/>
    <col min="3" max="3" width="4.5703125" style="8" bestFit="1" customWidth="1"/>
    <col min="4" max="4" width="4.28515625" style="8" customWidth="1"/>
    <col min="5" max="5" width="20.5703125" style="8" customWidth="1"/>
    <col min="6" max="7" width="5" style="8" customWidth="1"/>
    <col min="8" max="8" width="5" style="42" customWidth="1"/>
    <col min="9" max="9" width="6.140625" style="42" customWidth="1"/>
    <col min="10" max="10" width="6.42578125" style="8" customWidth="1"/>
    <col min="11" max="11" width="5" style="42" customWidth="1"/>
    <col min="12" max="13" width="5.28515625" style="8" customWidth="1"/>
    <col min="14" max="14" width="7" style="8" customWidth="1"/>
    <col min="15" max="15" width="8" style="8" customWidth="1"/>
    <col min="16" max="16" width="6.42578125" style="8" customWidth="1"/>
    <col min="17" max="17" width="7.140625" style="8" customWidth="1"/>
    <col min="18" max="18" width="8" style="54" customWidth="1"/>
    <col min="19" max="20" width="7" style="8" customWidth="1"/>
    <col min="21" max="21" width="6.140625" style="8" customWidth="1"/>
    <col min="22" max="22" width="7.140625" style="8" customWidth="1"/>
    <col min="23" max="23" width="6" style="8" customWidth="1"/>
    <col min="24" max="24" width="5" style="8" customWidth="1"/>
    <col min="25" max="25" width="5.7109375" style="8" customWidth="1"/>
    <col min="26" max="27" width="6.7109375" style="8" customWidth="1"/>
    <col min="28" max="28" width="8.28515625" style="8" customWidth="1"/>
    <col min="29" max="30" width="6" style="8" customWidth="1"/>
    <col min="31" max="31" width="5.7109375" style="8" customWidth="1"/>
    <col min="32" max="32" width="6.5703125" style="8" customWidth="1"/>
    <col min="33" max="33" width="6.7109375" style="9" customWidth="1"/>
    <col min="34" max="34" width="8.5703125" style="8" customWidth="1"/>
    <col min="35" max="39" width="9.140625" style="8" customWidth="1"/>
    <col min="40" max="16384" width="9.140625" style="8"/>
  </cols>
  <sheetData>
    <row r="1" spans="1:33" ht="12.75" customHeight="1" x14ac:dyDescent="0.2">
      <c r="A1" s="1"/>
      <c r="B1" s="1"/>
      <c r="C1" s="1"/>
      <c r="D1" s="1"/>
      <c r="E1" s="1"/>
      <c r="F1" s="1"/>
      <c r="G1" s="1"/>
      <c r="H1" s="2"/>
      <c r="I1" s="3"/>
      <c r="J1" s="4"/>
      <c r="K1" s="5"/>
      <c r="L1" s="4"/>
      <c r="M1" s="6" t="s">
        <v>133</v>
      </c>
      <c r="N1" s="6"/>
      <c r="O1" s="6"/>
      <c r="P1" s="6"/>
      <c r="Q1" s="6"/>
      <c r="R1" s="6"/>
      <c r="S1" s="6"/>
      <c r="T1" s="6"/>
      <c r="U1" s="7"/>
      <c r="V1" s="7"/>
    </row>
    <row r="2" spans="1:33" ht="12.75" customHeight="1" x14ac:dyDescent="0.2">
      <c r="A2" s="10"/>
      <c r="B2" s="10"/>
      <c r="C2" s="10"/>
      <c r="D2" s="10"/>
      <c r="E2" s="47">
        <v>24</v>
      </c>
      <c r="F2" s="10"/>
      <c r="G2" s="10"/>
      <c r="H2" s="11"/>
      <c r="I2" s="11"/>
      <c r="J2" s="10"/>
      <c r="K2" s="12">
        <v>4</v>
      </c>
      <c r="L2" s="13"/>
      <c r="M2" s="6"/>
      <c r="N2" s="6"/>
      <c r="O2" s="6"/>
      <c r="P2" s="6"/>
      <c r="Q2" s="6"/>
      <c r="R2" s="6"/>
      <c r="S2" s="6"/>
      <c r="T2" s="6"/>
      <c r="U2" s="14"/>
      <c r="V2" s="14"/>
      <c r="W2" s="49" t="s">
        <v>0</v>
      </c>
      <c r="X2" s="49"/>
      <c r="Y2" s="49"/>
      <c r="Z2" s="49"/>
      <c r="AA2" s="49"/>
      <c r="AB2" s="49"/>
      <c r="AC2" s="50" t="s">
        <v>1</v>
      </c>
      <c r="AD2" s="51"/>
      <c r="AE2" s="51"/>
      <c r="AF2" s="52"/>
      <c r="AG2" s="15"/>
    </row>
    <row r="3" spans="1:33" s="22" customFormat="1" ht="38.25" x14ac:dyDescent="0.2">
      <c r="A3" s="16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7" t="s">
        <v>9</v>
      </c>
      <c r="I3" s="17" t="s">
        <v>10</v>
      </c>
      <c r="J3" s="16" t="s">
        <v>11</v>
      </c>
      <c r="K3" s="17" t="s">
        <v>12</v>
      </c>
      <c r="L3" s="16" t="s">
        <v>13</v>
      </c>
      <c r="M3" s="18" t="s">
        <v>14</v>
      </c>
      <c r="N3" s="19" t="s">
        <v>15</v>
      </c>
      <c r="O3" s="19" t="s">
        <v>16</v>
      </c>
      <c r="P3" s="18" t="s">
        <v>17</v>
      </c>
      <c r="Q3" s="16" t="s">
        <v>18</v>
      </c>
      <c r="R3" s="20" t="s">
        <v>19</v>
      </c>
      <c r="S3" s="18" t="s">
        <v>20</v>
      </c>
      <c r="T3" s="18" t="s">
        <v>21</v>
      </c>
      <c r="U3" s="18" t="s">
        <v>22</v>
      </c>
      <c r="V3" s="18" t="s">
        <v>23</v>
      </c>
      <c r="W3" s="20" t="s">
        <v>24</v>
      </c>
      <c r="X3" s="20" t="s">
        <v>25</v>
      </c>
      <c r="Y3" s="19" t="s">
        <v>26</v>
      </c>
      <c r="Z3" s="16" t="s">
        <v>27</v>
      </c>
      <c r="AA3" s="16" t="s">
        <v>28</v>
      </c>
      <c r="AB3" s="20" t="s">
        <v>29</v>
      </c>
      <c r="AC3" s="16" t="s">
        <v>123</v>
      </c>
      <c r="AD3" s="20" t="s">
        <v>30</v>
      </c>
      <c r="AE3" s="16" t="s">
        <v>31</v>
      </c>
      <c r="AF3" s="19" t="s">
        <v>32</v>
      </c>
      <c r="AG3" s="21" t="s">
        <v>33</v>
      </c>
    </row>
    <row r="4" spans="1:33" ht="20.100000000000001" customHeight="1" x14ac:dyDescent="0.2">
      <c r="A4" s="47">
        <v>1</v>
      </c>
      <c r="B4" s="47">
        <v>1</v>
      </c>
      <c r="C4" s="47" t="s">
        <v>34</v>
      </c>
      <c r="D4" s="47">
        <v>1</v>
      </c>
      <c r="E4" s="23" t="s">
        <v>35</v>
      </c>
      <c r="F4" s="24">
        <v>22.5</v>
      </c>
      <c r="G4" s="24">
        <v>1.5</v>
      </c>
      <c r="H4" s="25">
        <f t="shared" ref="H4:H33" si="0">F4+G4</f>
        <v>24</v>
      </c>
      <c r="I4" s="26">
        <v>8</v>
      </c>
      <c r="J4" s="24">
        <v>9</v>
      </c>
      <c r="K4" s="25">
        <f>J4-$K$2</f>
        <v>5</v>
      </c>
      <c r="L4" s="24">
        <f t="shared" ref="L4:L33" si="1">IF(K4&gt;=0,K4,IF(K4&lt;0,0))</f>
        <v>5</v>
      </c>
      <c r="M4" s="24">
        <f t="shared" ref="M4:M33" si="2">I4-L4</f>
        <v>3</v>
      </c>
      <c r="N4" s="27">
        <f>68100+1500</f>
        <v>69600</v>
      </c>
      <c r="O4" s="28">
        <f>F4*Q4</f>
        <v>65250</v>
      </c>
      <c r="P4" s="28">
        <f>G4*Q4</f>
        <v>4350</v>
      </c>
      <c r="Q4" s="28">
        <f>N4/$E$2</f>
        <v>2900</v>
      </c>
      <c r="R4" s="29">
        <f>O4+P4</f>
        <v>69600</v>
      </c>
      <c r="S4" s="28">
        <f>O4*50%</f>
        <v>32625</v>
      </c>
      <c r="T4" s="28">
        <f>O4*10%</f>
        <v>6525</v>
      </c>
      <c r="U4" s="28">
        <f>O4*40%</f>
        <v>26100</v>
      </c>
      <c r="V4" s="28">
        <f>S4+T4</f>
        <v>39150</v>
      </c>
      <c r="W4" s="28">
        <f>IF(V4*12%&gt;1800,1800,IF(V4*12%&lt;1800,V4*12%))</f>
        <v>1800</v>
      </c>
      <c r="X4" s="28">
        <f t="shared" ref="X4:X67" si="3">IF(AND(N4 &gt;21000, R4&gt;0),0,IF(N4&lt;21000, O4*0.75%,""))</f>
        <v>0</v>
      </c>
      <c r="Y4" s="28">
        <f>IF(R4&lt;12000,0,IF(R4&gt;12000,200,))</f>
        <v>200</v>
      </c>
      <c r="Z4" s="30">
        <v>10000</v>
      </c>
      <c r="AA4" s="12"/>
      <c r="AB4" s="28">
        <f>R4-W4-X4-Y4-Z4-AA4</f>
        <v>57600</v>
      </c>
      <c r="AC4" s="28">
        <f>N4/30/8*M4</f>
        <v>870</v>
      </c>
      <c r="AD4" s="28">
        <f>AC4+AE4</f>
        <v>870</v>
      </c>
      <c r="AE4" s="47"/>
      <c r="AF4" s="47"/>
      <c r="AG4" s="31">
        <v>39376</v>
      </c>
    </row>
    <row r="5" spans="1:33" ht="20.100000000000001" customHeight="1" x14ac:dyDescent="0.2">
      <c r="A5" s="47">
        <f>A4+1</f>
        <v>2</v>
      </c>
      <c r="B5" s="47">
        <v>2</v>
      </c>
      <c r="C5" s="47" t="s">
        <v>34</v>
      </c>
      <c r="D5" s="47">
        <v>1</v>
      </c>
      <c r="E5" s="23" t="s">
        <v>36</v>
      </c>
      <c r="F5" s="24">
        <v>21.5</v>
      </c>
      <c r="G5" s="24">
        <v>2.5</v>
      </c>
      <c r="H5" s="25">
        <f t="shared" si="0"/>
        <v>24</v>
      </c>
      <c r="I5" s="26">
        <v>21.5</v>
      </c>
      <c r="J5" s="24">
        <v>8</v>
      </c>
      <c r="K5" s="25">
        <f t="shared" ref="K5:K33" si="4">J5-$K$2</f>
        <v>4</v>
      </c>
      <c r="L5" s="24">
        <f t="shared" si="1"/>
        <v>4</v>
      </c>
      <c r="M5" s="24">
        <f t="shared" si="2"/>
        <v>17.5</v>
      </c>
      <c r="N5" s="27">
        <v>97000</v>
      </c>
      <c r="O5" s="28">
        <f t="shared" ref="O5:O35" si="5">F5*Q5</f>
        <v>86895.833333333328</v>
      </c>
      <c r="P5" s="28">
        <f t="shared" ref="P5:P35" si="6">G5*Q5</f>
        <v>10104.166666666666</v>
      </c>
      <c r="Q5" s="28">
        <f t="shared" ref="Q5:Q35" si="7">N5/$E$2</f>
        <v>4041.6666666666665</v>
      </c>
      <c r="R5" s="29">
        <f t="shared" ref="R5:R35" si="8">O5+P5</f>
        <v>97000</v>
      </c>
      <c r="S5" s="28">
        <f t="shared" ref="S5:S35" si="9">O5*50%</f>
        <v>43447.916666666664</v>
      </c>
      <c r="T5" s="28">
        <f t="shared" ref="T5:T35" si="10">O5*10%</f>
        <v>8689.5833333333339</v>
      </c>
      <c r="U5" s="28">
        <f t="shared" ref="U5:U35" si="11">O5*40%</f>
        <v>34758.333333333336</v>
      </c>
      <c r="V5" s="28">
        <f t="shared" ref="V5:V35" si="12">S5+T5</f>
        <v>52137.5</v>
      </c>
      <c r="W5" s="28">
        <f t="shared" ref="W5:W35" si="13">IF(V5*12%&gt;1800,1800,IF(V5*12%&lt;1800,V5*12%))</f>
        <v>1800</v>
      </c>
      <c r="X5" s="28">
        <f t="shared" si="3"/>
        <v>0</v>
      </c>
      <c r="Y5" s="28">
        <f t="shared" ref="Y5:Y35" si="14">IF(R5&lt;12000,0,IF(R5&gt;12000,200,))</f>
        <v>200</v>
      </c>
      <c r="Z5" s="46"/>
      <c r="AA5" s="32">
        <v>17500</v>
      </c>
      <c r="AB5" s="28">
        <f t="shared" ref="AB5:AB35" si="15">R5-W5-X5-Y5-Z5-AA5</f>
        <v>77500</v>
      </c>
      <c r="AC5" s="28">
        <f t="shared" ref="AC5:AC35" si="16">N5/30/8*M5</f>
        <v>7072.916666666667</v>
      </c>
      <c r="AD5" s="28">
        <f t="shared" ref="AD5:AD35" si="17">AC5+AE5</f>
        <v>8012.916666666667</v>
      </c>
      <c r="AE5" s="46">
        <v>940</v>
      </c>
      <c r="AF5" s="47"/>
      <c r="AG5" s="31">
        <v>40330</v>
      </c>
    </row>
    <row r="6" spans="1:33" ht="20.100000000000001" customHeight="1" x14ac:dyDescent="0.2">
      <c r="A6" s="47">
        <f t="shared" ref="A6:A33" si="18">A5+1</f>
        <v>3</v>
      </c>
      <c r="B6" s="47">
        <v>6</v>
      </c>
      <c r="C6" s="47" t="s">
        <v>34</v>
      </c>
      <c r="D6" s="47">
        <v>1</v>
      </c>
      <c r="E6" s="23" t="s">
        <v>37</v>
      </c>
      <c r="F6" s="24">
        <v>22</v>
      </c>
      <c r="G6" s="24">
        <v>2</v>
      </c>
      <c r="H6" s="25">
        <f t="shared" si="0"/>
        <v>24</v>
      </c>
      <c r="I6" s="26">
        <v>8</v>
      </c>
      <c r="J6" s="24">
        <v>9.5</v>
      </c>
      <c r="K6" s="25">
        <f t="shared" si="4"/>
        <v>5.5</v>
      </c>
      <c r="L6" s="24">
        <f t="shared" si="1"/>
        <v>5.5</v>
      </c>
      <c r="M6" s="24">
        <f t="shared" si="2"/>
        <v>2.5</v>
      </c>
      <c r="N6" s="27">
        <v>57000</v>
      </c>
      <c r="O6" s="28">
        <f t="shared" si="5"/>
        <v>52250</v>
      </c>
      <c r="P6" s="28">
        <f t="shared" si="6"/>
        <v>4750</v>
      </c>
      <c r="Q6" s="28">
        <f t="shared" si="7"/>
        <v>2375</v>
      </c>
      <c r="R6" s="29">
        <f t="shared" si="8"/>
        <v>57000</v>
      </c>
      <c r="S6" s="28">
        <f t="shared" si="9"/>
        <v>26125</v>
      </c>
      <c r="T6" s="28">
        <f t="shared" si="10"/>
        <v>5225</v>
      </c>
      <c r="U6" s="28">
        <f t="shared" si="11"/>
        <v>20900</v>
      </c>
      <c r="V6" s="28">
        <f t="shared" si="12"/>
        <v>31350</v>
      </c>
      <c r="W6" s="28">
        <f t="shared" si="13"/>
        <v>1800</v>
      </c>
      <c r="X6" s="28">
        <f t="shared" si="3"/>
        <v>0</v>
      </c>
      <c r="Y6" s="28">
        <f t="shared" si="14"/>
        <v>200</v>
      </c>
      <c r="Z6" s="30">
        <v>10000</v>
      </c>
      <c r="AA6" s="12"/>
      <c r="AB6" s="28">
        <f t="shared" si="15"/>
        <v>45000</v>
      </c>
      <c r="AC6" s="28">
        <f t="shared" si="16"/>
        <v>593.75</v>
      </c>
      <c r="AD6" s="28">
        <f t="shared" si="17"/>
        <v>593.75</v>
      </c>
      <c r="AE6" s="47"/>
      <c r="AF6" s="47"/>
      <c r="AG6" s="31">
        <v>41754</v>
      </c>
    </row>
    <row r="7" spans="1:33" ht="20.100000000000001" customHeight="1" x14ac:dyDescent="0.2">
      <c r="A7" s="47">
        <f t="shared" si="18"/>
        <v>4</v>
      </c>
      <c r="B7" s="47">
        <v>12</v>
      </c>
      <c r="C7" s="47" t="s">
        <v>34</v>
      </c>
      <c r="D7" s="47">
        <v>1</v>
      </c>
      <c r="E7" s="23" t="s">
        <v>38</v>
      </c>
      <c r="F7" s="24">
        <v>21.5</v>
      </c>
      <c r="G7" s="24">
        <v>2.5</v>
      </c>
      <c r="H7" s="25">
        <f t="shared" si="0"/>
        <v>24</v>
      </c>
      <c r="I7" s="26">
        <v>4</v>
      </c>
      <c r="J7" s="24">
        <v>6</v>
      </c>
      <c r="K7" s="25">
        <f t="shared" si="4"/>
        <v>2</v>
      </c>
      <c r="L7" s="24">
        <f t="shared" si="1"/>
        <v>2</v>
      </c>
      <c r="M7" s="24">
        <f t="shared" si="2"/>
        <v>2</v>
      </c>
      <c r="N7" s="27">
        <v>58500</v>
      </c>
      <c r="O7" s="28">
        <f t="shared" si="5"/>
        <v>52406.25</v>
      </c>
      <c r="P7" s="28">
        <f t="shared" si="6"/>
        <v>6093.75</v>
      </c>
      <c r="Q7" s="28">
        <f t="shared" si="7"/>
        <v>2437.5</v>
      </c>
      <c r="R7" s="29">
        <f t="shared" si="8"/>
        <v>58500</v>
      </c>
      <c r="S7" s="28">
        <f t="shared" si="9"/>
        <v>26203.125</v>
      </c>
      <c r="T7" s="28">
        <f t="shared" si="10"/>
        <v>5240.625</v>
      </c>
      <c r="U7" s="28">
        <f t="shared" si="11"/>
        <v>20962.5</v>
      </c>
      <c r="V7" s="28">
        <f t="shared" si="12"/>
        <v>31443.75</v>
      </c>
      <c r="W7" s="28">
        <f t="shared" si="13"/>
        <v>1800</v>
      </c>
      <c r="X7" s="28">
        <f t="shared" si="3"/>
        <v>0</v>
      </c>
      <c r="Y7" s="28">
        <f t="shared" si="14"/>
        <v>200</v>
      </c>
      <c r="Z7" s="30">
        <v>5000</v>
      </c>
      <c r="AA7" s="12"/>
      <c r="AB7" s="28">
        <f t="shared" si="15"/>
        <v>51500</v>
      </c>
      <c r="AC7" s="28">
        <f t="shared" si="16"/>
        <v>487.5</v>
      </c>
      <c r="AD7" s="28">
        <f t="shared" si="17"/>
        <v>487.5</v>
      </c>
      <c r="AE7" s="47"/>
      <c r="AF7" s="47"/>
      <c r="AG7" s="31">
        <v>42009</v>
      </c>
    </row>
    <row r="8" spans="1:33" ht="20.100000000000001" customHeight="1" x14ac:dyDescent="0.2">
      <c r="A8" s="47">
        <f t="shared" si="18"/>
        <v>5</v>
      </c>
      <c r="B8" s="47">
        <v>15</v>
      </c>
      <c r="C8" s="47" t="s">
        <v>34</v>
      </c>
      <c r="D8" s="47">
        <v>2</v>
      </c>
      <c r="E8" s="23" t="s">
        <v>39</v>
      </c>
      <c r="F8" s="24">
        <v>23.5</v>
      </c>
      <c r="G8" s="24">
        <v>0.5</v>
      </c>
      <c r="H8" s="25">
        <f t="shared" si="0"/>
        <v>24</v>
      </c>
      <c r="I8" s="26">
        <v>7.5</v>
      </c>
      <c r="J8" s="24">
        <v>9</v>
      </c>
      <c r="K8" s="25">
        <f t="shared" si="4"/>
        <v>5</v>
      </c>
      <c r="L8" s="24">
        <f t="shared" si="1"/>
        <v>5</v>
      </c>
      <c r="M8" s="24">
        <f t="shared" si="2"/>
        <v>2.5</v>
      </c>
      <c r="N8" s="27">
        <f>67500+7000</f>
        <v>74500</v>
      </c>
      <c r="O8" s="28">
        <f t="shared" si="5"/>
        <v>72947.916666666657</v>
      </c>
      <c r="P8" s="28">
        <f t="shared" si="6"/>
        <v>1552.0833333333333</v>
      </c>
      <c r="Q8" s="28">
        <f t="shared" si="7"/>
        <v>3104.1666666666665</v>
      </c>
      <c r="R8" s="29">
        <f t="shared" si="8"/>
        <v>74499.999999999985</v>
      </c>
      <c r="S8" s="28">
        <f t="shared" si="9"/>
        <v>36473.958333333328</v>
      </c>
      <c r="T8" s="28">
        <f t="shared" si="10"/>
        <v>7294.7916666666661</v>
      </c>
      <c r="U8" s="28">
        <f t="shared" si="11"/>
        <v>29179.166666666664</v>
      </c>
      <c r="V8" s="28">
        <f t="shared" si="12"/>
        <v>43768.749999999993</v>
      </c>
      <c r="W8" s="28">
        <f t="shared" si="13"/>
        <v>1800</v>
      </c>
      <c r="X8" s="28">
        <f t="shared" si="3"/>
        <v>0</v>
      </c>
      <c r="Y8" s="28">
        <f t="shared" si="14"/>
        <v>200</v>
      </c>
      <c r="Z8" s="46"/>
      <c r="AA8" s="12"/>
      <c r="AB8" s="28">
        <f t="shared" si="15"/>
        <v>72499.999999999985</v>
      </c>
      <c r="AC8" s="28">
        <f t="shared" si="16"/>
        <v>776.04166666666674</v>
      </c>
      <c r="AD8" s="28">
        <f t="shared" si="17"/>
        <v>776.04166666666674</v>
      </c>
      <c r="AE8" s="47"/>
      <c r="AF8" s="47"/>
      <c r="AG8" s="31">
        <v>43081</v>
      </c>
    </row>
    <row r="9" spans="1:33" ht="20.100000000000001" customHeight="1" x14ac:dyDescent="0.2">
      <c r="A9" s="47">
        <f t="shared" si="18"/>
        <v>6</v>
      </c>
      <c r="B9" s="47">
        <v>16</v>
      </c>
      <c r="C9" s="47" t="s">
        <v>34</v>
      </c>
      <c r="D9" s="47">
        <v>2</v>
      </c>
      <c r="E9" s="23" t="s">
        <v>40</v>
      </c>
      <c r="F9" s="24">
        <v>23</v>
      </c>
      <c r="G9" s="24">
        <v>1</v>
      </c>
      <c r="H9" s="25">
        <f t="shared" si="0"/>
        <v>24</v>
      </c>
      <c r="I9" s="26">
        <v>6.5</v>
      </c>
      <c r="J9" s="24">
        <v>9.5</v>
      </c>
      <c r="K9" s="25">
        <f t="shared" si="4"/>
        <v>5.5</v>
      </c>
      <c r="L9" s="24">
        <f t="shared" si="1"/>
        <v>5.5</v>
      </c>
      <c r="M9" s="24">
        <f t="shared" si="2"/>
        <v>1</v>
      </c>
      <c r="N9" s="27">
        <v>62500</v>
      </c>
      <c r="O9" s="28">
        <f t="shared" si="5"/>
        <v>59895.833333333328</v>
      </c>
      <c r="P9" s="28">
        <f t="shared" si="6"/>
        <v>2604.1666666666665</v>
      </c>
      <c r="Q9" s="28">
        <f t="shared" si="7"/>
        <v>2604.1666666666665</v>
      </c>
      <c r="R9" s="29">
        <f t="shared" si="8"/>
        <v>62499.999999999993</v>
      </c>
      <c r="S9" s="28">
        <f t="shared" si="9"/>
        <v>29947.916666666664</v>
      </c>
      <c r="T9" s="28">
        <f t="shared" si="10"/>
        <v>5989.583333333333</v>
      </c>
      <c r="U9" s="28">
        <f t="shared" si="11"/>
        <v>23958.333333333332</v>
      </c>
      <c r="V9" s="28">
        <f t="shared" si="12"/>
        <v>35937.5</v>
      </c>
      <c r="W9" s="28">
        <f t="shared" si="13"/>
        <v>1800</v>
      </c>
      <c r="X9" s="28">
        <f t="shared" si="3"/>
        <v>0</v>
      </c>
      <c r="Y9" s="28">
        <f t="shared" si="14"/>
        <v>200</v>
      </c>
      <c r="Z9" s="46"/>
      <c r="AA9" s="12"/>
      <c r="AB9" s="28">
        <f t="shared" si="15"/>
        <v>60499.999999999993</v>
      </c>
      <c r="AC9" s="28">
        <f t="shared" si="16"/>
        <v>260.41666666666669</v>
      </c>
      <c r="AD9" s="28">
        <f t="shared" si="17"/>
        <v>260.41666666666669</v>
      </c>
      <c r="AE9" s="47"/>
      <c r="AF9" s="47"/>
      <c r="AG9" s="31">
        <v>43331</v>
      </c>
    </row>
    <row r="10" spans="1:33" ht="20.100000000000001" customHeight="1" x14ac:dyDescent="0.2">
      <c r="A10" s="47">
        <f t="shared" si="18"/>
        <v>7</v>
      </c>
      <c r="B10" s="47">
        <v>18</v>
      </c>
      <c r="C10" s="47" t="s">
        <v>34</v>
      </c>
      <c r="D10" s="47">
        <v>2</v>
      </c>
      <c r="E10" s="33" t="s">
        <v>41</v>
      </c>
      <c r="F10" s="24">
        <v>20.5</v>
      </c>
      <c r="G10" s="24">
        <v>3.5</v>
      </c>
      <c r="H10" s="25">
        <f t="shared" si="0"/>
        <v>24</v>
      </c>
      <c r="I10" s="26">
        <v>43.5</v>
      </c>
      <c r="J10" s="24">
        <v>5</v>
      </c>
      <c r="K10" s="25">
        <f t="shared" si="4"/>
        <v>1</v>
      </c>
      <c r="L10" s="24">
        <f t="shared" si="1"/>
        <v>1</v>
      </c>
      <c r="M10" s="24">
        <f t="shared" si="2"/>
        <v>42.5</v>
      </c>
      <c r="N10" s="27">
        <v>30300</v>
      </c>
      <c r="O10" s="28">
        <f t="shared" si="5"/>
        <v>25881.25</v>
      </c>
      <c r="P10" s="28">
        <f t="shared" si="6"/>
        <v>4418.75</v>
      </c>
      <c r="Q10" s="28">
        <f t="shared" si="7"/>
        <v>1262.5</v>
      </c>
      <c r="R10" s="29">
        <f t="shared" si="8"/>
        <v>30300</v>
      </c>
      <c r="S10" s="28">
        <f t="shared" si="9"/>
        <v>12940.625</v>
      </c>
      <c r="T10" s="28">
        <f t="shared" si="10"/>
        <v>2588.125</v>
      </c>
      <c r="U10" s="28">
        <f t="shared" si="11"/>
        <v>10352.5</v>
      </c>
      <c r="V10" s="28">
        <f t="shared" si="12"/>
        <v>15528.75</v>
      </c>
      <c r="W10" s="28">
        <f t="shared" si="13"/>
        <v>1800</v>
      </c>
      <c r="X10" s="28">
        <f t="shared" si="3"/>
        <v>0</v>
      </c>
      <c r="Y10" s="28">
        <f t="shared" si="14"/>
        <v>200</v>
      </c>
      <c r="Z10" s="46"/>
      <c r="AA10" s="12"/>
      <c r="AB10" s="28">
        <f t="shared" si="15"/>
        <v>28300</v>
      </c>
      <c r="AC10" s="28">
        <f t="shared" si="16"/>
        <v>5365.625</v>
      </c>
      <c r="AD10" s="28">
        <f t="shared" si="17"/>
        <v>5365.625</v>
      </c>
      <c r="AE10" s="47"/>
      <c r="AF10" s="47"/>
      <c r="AG10" s="31">
        <v>44409</v>
      </c>
    </row>
    <row r="11" spans="1:33" ht="20.100000000000001" customHeight="1" x14ac:dyDescent="0.2">
      <c r="A11" s="47">
        <f t="shared" si="18"/>
        <v>8</v>
      </c>
      <c r="B11" s="47">
        <v>19</v>
      </c>
      <c r="C11" s="47" t="s">
        <v>34</v>
      </c>
      <c r="D11" s="47">
        <v>2</v>
      </c>
      <c r="E11" s="33" t="s">
        <v>42</v>
      </c>
      <c r="F11" s="24">
        <v>21</v>
      </c>
      <c r="G11" s="24">
        <v>3</v>
      </c>
      <c r="H11" s="25">
        <f t="shared" si="0"/>
        <v>24</v>
      </c>
      <c r="I11" s="26">
        <v>8</v>
      </c>
      <c r="J11" s="24">
        <v>2</v>
      </c>
      <c r="K11" s="25">
        <f t="shared" si="4"/>
        <v>-2</v>
      </c>
      <c r="L11" s="24">
        <f t="shared" si="1"/>
        <v>0</v>
      </c>
      <c r="M11" s="24">
        <f t="shared" si="2"/>
        <v>8</v>
      </c>
      <c r="N11" s="27">
        <v>25800</v>
      </c>
      <c r="O11" s="28">
        <f t="shared" si="5"/>
        <v>22575</v>
      </c>
      <c r="P11" s="28">
        <f t="shared" si="6"/>
        <v>3225</v>
      </c>
      <c r="Q11" s="28">
        <f t="shared" si="7"/>
        <v>1075</v>
      </c>
      <c r="R11" s="29">
        <f t="shared" si="8"/>
        <v>25800</v>
      </c>
      <c r="S11" s="28">
        <f t="shared" si="9"/>
        <v>11287.5</v>
      </c>
      <c r="T11" s="28">
        <f t="shared" si="10"/>
        <v>2257.5</v>
      </c>
      <c r="U11" s="28">
        <f t="shared" si="11"/>
        <v>9030</v>
      </c>
      <c r="V11" s="28">
        <f t="shared" si="12"/>
        <v>13545</v>
      </c>
      <c r="W11" s="28">
        <f t="shared" si="13"/>
        <v>1625.3999999999999</v>
      </c>
      <c r="X11" s="28">
        <f t="shared" si="3"/>
        <v>0</v>
      </c>
      <c r="Y11" s="28">
        <f t="shared" si="14"/>
        <v>200</v>
      </c>
      <c r="Z11" s="46"/>
      <c r="AA11" s="12"/>
      <c r="AB11" s="28">
        <f t="shared" si="15"/>
        <v>23974.6</v>
      </c>
      <c r="AC11" s="28">
        <f t="shared" si="16"/>
        <v>860</v>
      </c>
      <c r="AD11" s="28">
        <f t="shared" si="17"/>
        <v>860</v>
      </c>
      <c r="AE11" s="47"/>
      <c r="AF11" s="47"/>
      <c r="AG11" s="31">
        <v>43335</v>
      </c>
    </row>
    <row r="12" spans="1:33" ht="20.100000000000001" customHeight="1" x14ac:dyDescent="0.2">
      <c r="A12" s="47">
        <f t="shared" si="18"/>
        <v>9</v>
      </c>
      <c r="B12" s="47">
        <v>20</v>
      </c>
      <c r="C12" s="47" t="s">
        <v>34</v>
      </c>
      <c r="D12" s="47">
        <v>3</v>
      </c>
      <c r="E12" s="33" t="s">
        <v>43</v>
      </c>
      <c r="F12" s="24">
        <v>23</v>
      </c>
      <c r="G12" s="24">
        <v>1</v>
      </c>
      <c r="H12" s="25">
        <f>F12+G12</f>
        <v>24</v>
      </c>
      <c r="I12" s="26">
        <v>43</v>
      </c>
      <c r="J12" s="24">
        <v>5.5</v>
      </c>
      <c r="K12" s="25">
        <f t="shared" si="4"/>
        <v>1.5</v>
      </c>
      <c r="L12" s="24">
        <f t="shared" si="1"/>
        <v>1.5</v>
      </c>
      <c r="M12" s="24">
        <f t="shared" si="2"/>
        <v>41.5</v>
      </c>
      <c r="N12" s="27">
        <v>29600</v>
      </c>
      <c r="O12" s="28">
        <f t="shared" si="5"/>
        <v>28366.666666666664</v>
      </c>
      <c r="P12" s="28">
        <f t="shared" si="6"/>
        <v>1233.3333333333333</v>
      </c>
      <c r="Q12" s="28">
        <f t="shared" si="7"/>
        <v>1233.3333333333333</v>
      </c>
      <c r="R12" s="29">
        <f t="shared" si="8"/>
        <v>29599.999999999996</v>
      </c>
      <c r="S12" s="28">
        <f t="shared" si="9"/>
        <v>14183.333333333332</v>
      </c>
      <c r="T12" s="28">
        <f t="shared" si="10"/>
        <v>2836.6666666666665</v>
      </c>
      <c r="U12" s="28">
        <f t="shared" si="11"/>
        <v>11346.666666666666</v>
      </c>
      <c r="V12" s="28">
        <f t="shared" si="12"/>
        <v>17020</v>
      </c>
      <c r="W12" s="28">
        <f t="shared" si="13"/>
        <v>1800</v>
      </c>
      <c r="X12" s="28">
        <f t="shared" si="3"/>
        <v>0</v>
      </c>
      <c r="Y12" s="28">
        <f t="shared" si="14"/>
        <v>200</v>
      </c>
      <c r="Z12" s="46"/>
      <c r="AA12" s="12"/>
      <c r="AB12" s="28">
        <f t="shared" si="15"/>
        <v>27599.999999999996</v>
      </c>
      <c r="AC12" s="28">
        <f t="shared" si="16"/>
        <v>5118.333333333333</v>
      </c>
      <c r="AD12" s="28">
        <f t="shared" si="17"/>
        <v>5118.333333333333</v>
      </c>
      <c r="AE12" s="47"/>
      <c r="AF12" s="47"/>
      <c r="AG12" s="31">
        <v>43340</v>
      </c>
    </row>
    <row r="13" spans="1:33" ht="20.100000000000001" customHeight="1" x14ac:dyDescent="0.2">
      <c r="A13" s="47">
        <f t="shared" si="18"/>
        <v>10</v>
      </c>
      <c r="B13" s="47">
        <v>22</v>
      </c>
      <c r="C13" s="47" t="s">
        <v>34</v>
      </c>
      <c r="D13" s="47">
        <v>3</v>
      </c>
      <c r="E13" s="33" t="s">
        <v>44</v>
      </c>
      <c r="F13" s="24">
        <v>21.5</v>
      </c>
      <c r="G13" s="24">
        <v>2.5</v>
      </c>
      <c r="H13" s="25">
        <f t="shared" si="0"/>
        <v>24</v>
      </c>
      <c r="I13" s="26">
        <v>0</v>
      </c>
      <c r="J13" s="24">
        <v>2.5</v>
      </c>
      <c r="K13" s="25">
        <f t="shared" si="4"/>
        <v>-1.5</v>
      </c>
      <c r="L13" s="24">
        <f t="shared" si="1"/>
        <v>0</v>
      </c>
      <c r="M13" s="24">
        <f t="shared" si="2"/>
        <v>0</v>
      </c>
      <c r="N13" s="27">
        <v>70700</v>
      </c>
      <c r="O13" s="28">
        <f t="shared" si="5"/>
        <v>63335.416666666672</v>
      </c>
      <c r="P13" s="28">
        <f t="shared" si="6"/>
        <v>7364.5833333333339</v>
      </c>
      <c r="Q13" s="28">
        <f t="shared" si="7"/>
        <v>2945.8333333333335</v>
      </c>
      <c r="R13" s="29">
        <f t="shared" si="8"/>
        <v>70700</v>
      </c>
      <c r="S13" s="28">
        <f t="shared" si="9"/>
        <v>31667.708333333336</v>
      </c>
      <c r="T13" s="28">
        <f t="shared" si="10"/>
        <v>6333.5416666666679</v>
      </c>
      <c r="U13" s="28">
        <f t="shared" si="11"/>
        <v>25334.166666666672</v>
      </c>
      <c r="V13" s="28">
        <f t="shared" si="12"/>
        <v>38001.25</v>
      </c>
      <c r="W13" s="28">
        <f t="shared" si="13"/>
        <v>1800</v>
      </c>
      <c r="X13" s="28">
        <f t="shared" si="3"/>
        <v>0</v>
      </c>
      <c r="Y13" s="28">
        <f t="shared" si="14"/>
        <v>200</v>
      </c>
      <c r="Z13" s="30">
        <v>10000</v>
      </c>
      <c r="AA13" s="12"/>
      <c r="AB13" s="28">
        <f t="shared" si="15"/>
        <v>58700</v>
      </c>
      <c r="AC13" s="28">
        <f t="shared" si="16"/>
        <v>0</v>
      </c>
      <c r="AD13" s="28">
        <f t="shared" si="17"/>
        <v>0</v>
      </c>
      <c r="AE13" s="47"/>
      <c r="AF13" s="47"/>
      <c r="AG13" s="31">
        <v>41153</v>
      </c>
    </row>
    <row r="14" spans="1:33" ht="20.100000000000001" customHeight="1" x14ac:dyDescent="0.2">
      <c r="A14" s="47">
        <f t="shared" si="18"/>
        <v>11</v>
      </c>
      <c r="B14" s="47">
        <v>25</v>
      </c>
      <c r="C14" s="47" t="s">
        <v>34</v>
      </c>
      <c r="D14" s="47">
        <v>3</v>
      </c>
      <c r="E14" s="33" t="s">
        <v>45</v>
      </c>
      <c r="F14" s="24">
        <v>2</v>
      </c>
      <c r="G14" s="24">
        <v>3</v>
      </c>
      <c r="H14" s="25">
        <f t="shared" si="0"/>
        <v>5</v>
      </c>
      <c r="I14" s="26">
        <v>1.5</v>
      </c>
      <c r="J14" s="24">
        <v>1</v>
      </c>
      <c r="K14" s="25">
        <f t="shared" si="4"/>
        <v>-3</v>
      </c>
      <c r="L14" s="24">
        <f t="shared" si="1"/>
        <v>0</v>
      </c>
      <c r="M14" s="24">
        <f t="shared" si="2"/>
        <v>1.5</v>
      </c>
      <c r="N14" s="27">
        <f>27700+4000</f>
        <v>31700</v>
      </c>
      <c r="O14" s="28">
        <f t="shared" si="5"/>
        <v>2641.6666666666665</v>
      </c>
      <c r="P14" s="28">
        <f t="shared" si="6"/>
        <v>3962.5</v>
      </c>
      <c r="Q14" s="28">
        <f t="shared" si="7"/>
        <v>1320.8333333333333</v>
      </c>
      <c r="R14" s="29">
        <f t="shared" si="8"/>
        <v>6604.1666666666661</v>
      </c>
      <c r="S14" s="28">
        <f t="shared" si="9"/>
        <v>1320.8333333333333</v>
      </c>
      <c r="T14" s="28">
        <f t="shared" si="10"/>
        <v>264.16666666666669</v>
      </c>
      <c r="U14" s="28">
        <f t="shared" si="11"/>
        <v>1056.6666666666667</v>
      </c>
      <c r="V14" s="28">
        <f t="shared" si="12"/>
        <v>1585</v>
      </c>
      <c r="W14" s="28">
        <f t="shared" si="13"/>
        <v>190.2</v>
      </c>
      <c r="X14" s="28">
        <f t="shared" si="3"/>
        <v>0</v>
      </c>
      <c r="Y14" s="28">
        <f t="shared" si="14"/>
        <v>0</v>
      </c>
      <c r="Z14" s="46"/>
      <c r="AA14" s="46"/>
      <c r="AB14" s="28">
        <f t="shared" si="15"/>
        <v>6413.9666666666662</v>
      </c>
      <c r="AC14" s="28">
        <f t="shared" si="16"/>
        <v>198.125</v>
      </c>
      <c r="AD14" s="28">
        <f t="shared" si="17"/>
        <v>198.125</v>
      </c>
      <c r="AE14" s="47"/>
      <c r="AF14" s="47"/>
      <c r="AG14" s="31">
        <v>44476</v>
      </c>
    </row>
    <row r="15" spans="1:33" ht="20.100000000000001" customHeight="1" x14ac:dyDescent="0.2">
      <c r="A15" s="47">
        <f t="shared" si="18"/>
        <v>12</v>
      </c>
      <c r="B15" s="47">
        <v>29</v>
      </c>
      <c r="C15" s="47" t="s">
        <v>34</v>
      </c>
      <c r="D15" s="47">
        <v>3</v>
      </c>
      <c r="E15" s="33" t="s">
        <v>46</v>
      </c>
      <c r="F15" s="24">
        <v>21</v>
      </c>
      <c r="G15" s="24">
        <v>3</v>
      </c>
      <c r="H15" s="25">
        <f>F15+G15</f>
        <v>24</v>
      </c>
      <c r="I15" s="26">
        <v>0</v>
      </c>
      <c r="J15" s="24">
        <v>4</v>
      </c>
      <c r="K15" s="25">
        <f>J15-$K$2</f>
        <v>0</v>
      </c>
      <c r="L15" s="24">
        <f>IF(K15&gt;=0,K15,IF(K15&lt;0,0))</f>
        <v>0</v>
      </c>
      <c r="M15" s="24">
        <f>I15-L15</f>
        <v>0</v>
      </c>
      <c r="N15" s="27">
        <v>22300</v>
      </c>
      <c r="O15" s="28">
        <f t="shared" si="5"/>
        <v>19512.5</v>
      </c>
      <c r="P15" s="28">
        <f t="shared" si="6"/>
        <v>2787.5</v>
      </c>
      <c r="Q15" s="28">
        <f t="shared" si="7"/>
        <v>929.16666666666663</v>
      </c>
      <c r="R15" s="29">
        <f t="shared" si="8"/>
        <v>22300</v>
      </c>
      <c r="S15" s="28">
        <f t="shared" si="9"/>
        <v>9756.25</v>
      </c>
      <c r="T15" s="28">
        <f t="shared" si="10"/>
        <v>1951.25</v>
      </c>
      <c r="U15" s="28">
        <f t="shared" si="11"/>
        <v>7805</v>
      </c>
      <c r="V15" s="28">
        <f t="shared" si="12"/>
        <v>11707.5</v>
      </c>
      <c r="W15" s="28">
        <f t="shared" si="13"/>
        <v>1404.8999999999999</v>
      </c>
      <c r="X15" s="28">
        <f t="shared" si="3"/>
        <v>0</v>
      </c>
      <c r="Y15" s="28">
        <f t="shared" si="14"/>
        <v>200</v>
      </c>
      <c r="Z15" s="46"/>
      <c r="AA15" s="46"/>
      <c r="AB15" s="28">
        <f t="shared" si="15"/>
        <v>20695.099999999999</v>
      </c>
      <c r="AC15" s="28">
        <f t="shared" si="16"/>
        <v>0</v>
      </c>
      <c r="AD15" s="28">
        <f t="shared" si="17"/>
        <v>0</v>
      </c>
      <c r="AE15" s="47"/>
      <c r="AF15" s="47"/>
      <c r="AG15" s="31">
        <v>44368</v>
      </c>
    </row>
    <row r="16" spans="1:33" ht="20.100000000000001" customHeight="1" x14ac:dyDescent="0.2">
      <c r="A16" s="47">
        <f t="shared" si="18"/>
        <v>13</v>
      </c>
      <c r="B16" s="47">
        <v>38</v>
      </c>
      <c r="C16" s="47" t="s">
        <v>34</v>
      </c>
      <c r="D16" s="47">
        <v>4</v>
      </c>
      <c r="E16" s="33" t="s">
        <v>47</v>
      </c>
      <c r="F16" s="24">
        <v>21.5</v>
      </c>
      <c r="G16" s="24">
        <v>2.5</v>
      </c>
      <c r="H16" s="25">
        <f t="shared" si="0"/>
        <v>24</v>
      </c>
      <c r="I16" s="26">
        <v>8</v>
      </c>
      <c r="J16" s="24">
        <v>9.5</v>
      </c>
      <c r="K16" s="25">
        <f t="shared" si="4"/>
        <v>5.5</v>
      </c>
      <c r="L16" s="24">
        <f t="shared" si="1"/>
        <v>5.5</v>
      </c>
      <c r="M16" s="24">
        <f t="shared" si="2"/>
        <v>2.5</v>
      </c>
      <c r="N16" s="27">
        <v>26900</v>
      </c>
      <c r="O16" s="28">
        <f t="shared" si="5"/>
        <v>24097.916666666664</v>
      </c>
      <c r="P16" s="28">
        <f t="shared" si="6"/>
        <v>2802.083333333333</v>
      </c>
      <c r="Q16" s="28">
        <f t="shared" si="7"/>
        <v>1120.8333333333333</v>
      </c>
      <c r="R16" s="29">
        <f t="shared" si="8"/>
        <v>26899.999999999996</v>
      </c>
      <c r="S16" s="28">
        <f t="shared" si="9"/>
        <v>12048.958333333332</v>
      </c>
      <c r="T16" s="28">
        <f t="shared" si="10"/>
        <v>2409.7916666666665</v>
      </c>
      <c r="U16" s="28">
        <f t="shared" si="11"/>
        <v>9639.1666666666661</v>
      </c>
      <c r="V16" s="28">
        <f t="shared" si="12"/>
        <v>14458.749999999998</v>
      </c>
      <c r="W16" s="28">
        <f t="shared" si="13"/>
        <v>1735.0499999999997</v>
      </c>
      <c r="X16" s="28">
        <f t="shared" si="3"/>
        <v>0</v>
      </c>
      <c r="Y16" s="28">
        <f t="shared" si="14"/>
        <v>200</v>
      </c>
      <c r="Z16" s="46"/>
      <c r="AA16" s="46"/>
      <c r="AB16" s="28">
        <f t="shared" si="15"/>
        <v>24964.949999999997</v>
      </c>
      <c r="AC16" s="28">
        <f t="shared" si="16"/>
        <v>280.20833333333331</v>
      </c>
      <c r="AD16" s="28">
        <f t="shared" si="17"/>
        <v>280.20833333333331</v>
      </c>
      <c r="AE16" s="47"/>
      <c r="AF16" s="47"/>
      <c r="AG16" s="31">
        <v>43349</v>
      </c>
    </row>
    <row r="17" spans="1:33" ht="20.100000000000001" customHeight="1" x14ac:dyDescent="0.2">
      <c r="A17" s="47">
        <f t="shared" si="18"/>
        <v>14</v>
      </c>
      <c r="B17" s="47">
        <v>40</v>
      </c>
      <c r="C17" s="47" t="s">
        <v>34</v>
      </c>
      <c r="D17" s="47">
        <v>4</v>
      </c>
      <c r="E17" s="33" t="s">
        <v>48</v>
      </c>
      <c r="F17" s="24">
        <v>17.5</v>
      </c>
      <c r="G17" s="24">
        <v>2</v>
      </c>
      <c r="H17" s="25">
        <f t="shared" si="0"/>
        <v>19.5</v>
      </c>
      <c r="I17" s="26">
        <v>11</v>
      </c>
      <c r="J17" s="24">
        <v>4</v>
      </c>
      <c r="K17" s="25">
        <f t="shared" si="4"/>
        <v>0</v>
      </c>
      <c r="L17" s="24">
        <f t="shared" si="1"/>
        <v>0</v>
      </c>
      <c r="M17" s="24">
        <f t="shared" si="2"/>
        <v>11</v>
      </c>
      <c r="N17" s="27">
        <v>25300</v>
      </c>
      <c r="O17" s="28">
        <f t="shared" si="5"/>
        <v>18447.916666666668</v>
      </c>
      <c r="P17" s="28">
        <f t="shared" si="6"/>
        <v>2108.3333333333335</v>
      </c>
      <c r="Q17" s="28">
        <f t="shared" si="7"/>
        <v>1054.1666666666667</v>
      </c>
      <c r="R17" s="29">
        <f t="shared" si="8"/>
        <v>20556.25</v>
      </c>
      <c r="S17" s="28">
        <f t="shared" si="9"/>
        <v>9223.9583333333339</v>
      </c>
      <c r="T17" s="28">
        <f t="shared" si="10"/>
        <v>1844.791666666667</v>
      </c>
      <c r="U17" s="28">
        <f t="shared" si="11"/>
        <v>7379.1666666666679</v>
      </c>
      <c r="V17" s="28">
        <f t="shared" si="12"/>
        <v>11068.75</v>
      </c>
      <c r="W17" s="28">
        <f t="shared" si="13"/>
        <v>1328.25</v>
      </c>
      <c r="X17" s="28">
        <f t="shared" si="3"/>
        <v>0</v>
      </c>
      <c r="Y17" s="28">
        <f t="shared" si="14"/>
        <v>200</v>
      </c>
      <c r="Z17" s="46"/>
      <c r="AA17" s="46"/>
      <c r="AB17" s="28">
        <f t="shared" si="15"/>
        <v>19028</v>
      </c>
      <c r="AC17" s="28">
        <f t="shared" si="16"/>
        <v>1159.5833333333335</v>
      </c>
      <c r="AD17" s="28">
        <f t="shared" si="17"/>
        <v>1159.5833333333335</v>
      </c>
      <c r="AE17" s="47"/>
      <c r="AF17" s="47"/>
      <c r="AG17" s="31">
        <v>43898</v>
      </c>
    </row>
    <row r="18" spans="1:33" ht="20.100000000000001" customHeight="1" x14ac:dyDescent="0.2">
      <c r="A18" s="47">
        <f t="shared" si="18"/>
        <v>15</v>
      </c>
      <c r="B18" s="47">
        <v>73</v>
      </c>
      <c r="C18" s="47" t="s">
        <v>34</v>
      </c>
      <c r="D18" s="47">
        <v>4</v>
      </c>
      <c r="E18" s="33" t="s">
        <v>49</v>
      </c>
      <c r="F18" s="24">
        <v>19.5</v>
      </c>
      <c r="G18" s="24">
        <v>2</v>
      </c>
      <c r="H18" s="25">
        <f t="shared" si="0"/>
        <v>21.5</v>
      </c>
      <c r="I18" s="26">
        <v>8</v>
      </c>
      <c r="J18" s="24">
        <v>11</v>
      </c>
      <c r="K18" s="25">
        <f t="shared" si="4"/>
        <v>7</v>
      </c>
      <c r="L18" s="24">
        <f t="shared" si="1"/>
        <v>7</v>
      </c>
      <c r="M18" s="24">
        <f t="shared" si="2"/>
        <v>1</v>
      </c>
      <c r="N18" s="27">
        <v>25700</v>
      </c>
      <c r="O18" s="28">
        <f t="shared" si="5"/>
        <v>20881.25</v>
      </c>
      <c r="P18" s="28">
        <f t="shared" si="6"/>
        <v>2141.6666666666665</v>
      </c>
      <c r="Q18" s="28">
        <f t="shared" si="7"/>
        <v>1070.8333333333333</v>
      </c>
      <c r="R18" s="29">
        <f t="shared" si="8"/>
        <v>23022.916666666668</v>
      </c>
      <c r="S18" s="28">
        <f t="shared" si="9"/>
        <v>10440.625</v>
      </c>
      <c r="T18" s="28">
        <f t="shared" si="10"/>
        <v>2088.125</v>
      </c>
      <c r="U18" s="28">
        <f t="shared" si="11"/>
        <v>8352.5</v>
      </c>
      <c r="V18" s="28">
        <f t="shared" si="12"/>
        <v>12528.75</v>
      </c>
      <c r="W18" s="28">
        <f t="shared" si="13"/>
        <v>1503.45</v>
      </c>
      <c r="X18" s="28">
        <f t="shared" si="3"/>
        <v>0</v>
      </c>
      <c r="Y18" s="28">
        <f t="shared" si="14"/>
        <v>200</v>
      </c>
      <c r="Z18" s="46"/>
      <c r="AA18" s="46"/>
      <c r="AB18" s="28">
        <f t="shared" si="15"/>
        <v>21319.466666666667</v>
      </c>
      <c r="AC18" s="28">
        <f t="shared" si="16"/>
        <v>107.08333333333333</v>
      </c>
      <c r="AD18" s="28">
        <f t="shared" si="17"/>
        <v>107.08333333333333</v>
      </c>
      <c r="AE18" s="47"/>
      <c r="AF18" s="47"/>
      <c r="AG18" s="31">
        <v>44509</v>
      </c>
    </row>
    <row r="19" spans="1:33" ht="20.100000000000001" customHeight="1" x14ac:dyDescent="0.2">
      <c r="A19" s="47">
        <f t="shared" si="18"/>
        <v>16</v>
      </c>
      <c r="B19" s="47">
        <v>97</v>
      </c>
      <c r="C19" s="47" t="s">
        <v>34</v>
      </c>
      <c r="D19" s="47">
        <v>4</v>
      </c>
      <c r="E19" s="33" t="s">
        <v>50</v>
      </c>
      <c r="F19" s="24">
        <v>21.5</v>
      </c>
      <c r="G19" s="24">
        <v>2.5</v>
      </c>
      <c r="H19" s="25">
        <f t="shared" si="0"/>
        <v>24</v>
      </c>
      <c r="I19" s="26">
        <v>8</v>
      </c>
      <c r="J19" s="24">
        <v>9.5</v>
      </c>
      <c r="K19" s="25">
        <f t="shared" si="4"/>
        <v>5.5</v>
      </c>
      <c r="L19" s="24">
        <f t="shared" si="1"/>
        <v>5.5</v>
      </c>
      <c r="M19" s="24">
        <f t="shared" si="2"/>
        <v>2.5</v>
      </c>
      <c r="N19" s="27">
        <v>35400</v>
      </c>
      <c r="O19" s="28">
        <f t="shared" si="5"/>
        <v>31712.5</v>
      </c>
      <c r="P19" s="28">
        <f t="shared" si="6"/>
        <v>3687.5</v>
      </c>
      <c r="Q19" s="28">
        <f t="shared" si="7"/>
        <v>1475</v>
      </c>
      <c r="R19" s="29">
        <f t="shared" si="8"/>
        <v>35400</v>
      </c>
      <c r="S19" s="28">
        <f t="shared" si="9"/>
        <v>15856.25</v>
      </c>
      <c r="T19" s="28">
        <f t="shared" si="10"/>
        <v>3171.25</v>
      </c>
      <c r="U19" s="28">
        <f t="shared" si="11"/>
        <v>12685</v>
      </c>
      <c r="V19" s="28">
        <f t="shared" si="12"/>
        <v>19027.5</v>
      </c>
      <c r="W19" s="28">
        <f t="shared" si="13"/>
        <v>1800</v>
      </c>
      <c r="X19" s="28">
        <f t="shared" si="3"/>
        <v>0</v>
      </c>
      <c r="Y19" s="28">
        <f t="shared" si="14"/>
        <v>200</v>
      </c>
      <c r="Z19" s="46"/>
      <c r="AA19" s="46"/>
      <c r="AB19" s="28">
        <f t="shared" si="15"/>
        <v>33400</v>
      </c>
      <c r="AC19" s="28">
        <f t="shared" si="16"/>
        <v>368.75</v>
      </c>
      <c r="AD19" s="28">
        <f t="shared" si="17"/>
        <v>368.75</v>
      </c>
      <c r="AE19" s="46"/>
      <c r="AF19" s="47"/>
      <c r="AG19" s="31">
        <v>44487</v>
      </c>
    </row>
    <row r="20" spans="1:33" ht="20.100000000000001" customHeight="1" x14ac:dyDescent="0.2">
      <c r="A20" s="47">
        <f t="shared" si="18"/>
        <v>17</v>
      </c>
      <c r="B20" s="47">
        <v>100</v>
      </c>
      <c r="C20" s="47" t="s">
        <v>34</v>
      </c>
      <c r="D20" s="47">
        <v>5</v>
      </c>
      <c r="E20" s="33" t="s">
        <v>51</v>
      </c>
      <c r="F20" s="24">
        <v>19</v>
      </c>
      <c r="G20" s="24">
        <v>2</v>
      </c>
      <c r="H20" s="25">
        <f t="shared" si="0"/>
        <v>21</v>
      </c>
      <c r="I20" s="26">
        <v>16</v>
      </c>
      <c r="J20" s="24">
        <v>16.5</v>
      </c>
      <c r="K20" s="25">
        <f t="shared" si="4"/>
        <v>12.5</v>
      </c>
      <c r="L20" s="24">
        <f t="shared" si="1"/>
        <v>12.5</v>
      </c>
      <c r="M20" s="24">
        <f t="shared" si="2"/>
        <v>3.5</v>
      </c>
      <c r="N20" s="27">
        <v>27600</v>
      </c>
      <c r="O20" s="28">
        <f t="shared" si="5"/>
        <v>21850</v>
      </c>
      <c r="P20" s="28">
        <f t="shared" si="6"/>
        <v>2300</v>
      </c>
      <c r="Q20" s="28">
        <f t="shared" si="7"/>
        <v>1150</v>
      </c>
      <c r="R20" s="29">
        <f t="shared" si="8"/>
        <v>24150</v>
      </c>
      <c r="S20" s="28">
        <f t="shared" si="9"/>
        <v>10925</v>
      </c>
      <c r="T20" s="28">
        <f t="shared" si="10"/>
        <v>2185</v>
      </c>
      <c r="U20" s="28">
        <f t="shared" si="11"/>
        <v>8740</v>
      </c>
      <c r="V20" s="28">
        <f t="shared" si="12"/>
        <v>13110</v>
      </c>
      <c r="W20" s="28">
        <f t="shared" si="13"/>
        <v>1573.2</v>
      </c>
      <c r="X20" s="28">
        <f t="shared" si="3"/>
        <v>0</v>
      </c>
      <c r="Y20" s="28">
        <f t="shared" si="14"/>
        <v>200</v>
      </c>
      <c r="Z20" s="46"/>
      <c r="AA20" s="46"/>
      <c r="AB20" s="28">
        <f t="shared" si="15"/>
        <v>22376.799999999999</v>
      </c>
      <c r="AC20" s="28">
        <f t="shared" si="16"/>
        <v>402.5</v>
      </c>
      <c r="AD20" s="28">
        <f t="shared" si="17"/>
        <v>402.5</v>
      </c>
      <c r="AE20" s="46"/>
      <c r="AF20" s="47"/>
      <c r="AG20" s="31">
        <v>44126</v>
      </c>
    </row>
    <row r="21" spans="1:33" ht="20.100000000000001" customHeight="1" x14ac:dyDescent="0.2">
      <c r="A21" s="47">
        <f t="shared" si="18"/>
        <v>18</v>
      </c>
      <c r="B21" s="47">
        <v>134</v>
      </c>
      <c r="C21" s="47" t="s">
        <v>34</v>
      </c>
      <c r="D21" s="47">
        <v>5</v>
      </c>
      <c r="E21" s="23" t="s">
        <v>52</v>
      </c>
      <c r="F21" s="24">
        <v>24</v>
      </c>
      <c r="G21" s="24">
        <v>0</v>
      </c>
      <c r="H21" s="25">
        <f t="shared" si="0"/>
        <v>24</v>
      </c>
      <c r="I21" s="26">
        <v>0</v>
      </c>
      <c r="J21" s="24">
        <v>1.5</v>
      </c>
      <c r="K21" s="25">
        <f t="shared" si="4"/>
        <v>-2.5</v>
      </c>
      <c r="L21" s="24">
        <f t="shared" si="1"/>
        <v>0</v>
      </c>
      <c r="M21" s="24">
        <f t="shared" si="2"/>
        <v>0</v>
      </c>
      <c r="N21" s="27">
        <v>43500</v>
      </c>
      <c r="O21" s="28">
        <f t="shared" si="5"/>
        <v>43500</v>
      </c>
      <c r="P21" s="28">
        <f t="shared" si="6"/>
        <v>0</v>
      </c>
      <c r="Q21" s="28">
        <f t="shared" si="7"/>
        <v>1812.5</v>
      </c>
      <c r="R21" s="29">
        <f t="shared" si="8"/>
        <v>43500</v>
      </c>
      <c r="S21" s="28">
        <f t="shared" si="9"/>
        <v>21750</v>
      </c>
      <c r="T21" s="28">
        <f t="shared" si="10"/>
        <v>4350</v>
      </c>
      <c r="U21" s="28">
        <f t="shared" si="11"/>
        <v>17400</v>
      </c>
      <c r="V21" s="28">
        <f t="shared" si="12"/>
        <v>26100</v>
      </c>
      <c r="W21" s="28">
        <f t="shared" si="13"/>
        <v>1800</v>
      </c>
      <c r="X21" s="28">
        <f t="shared" si="3"/>
        <v>0</v>
      </c>
      <c r="Y21" s="28">
        <f t="shared" si="14"/>
        <v>200</v>
      </c>
      <c r="Z21" s="30">
        <v>20000</v>
      </c>
      <c r="AA21" s="46"/>
      <c r="AB21" s="28">
        <f t="shared" si="15"/>
        <v>21500</v>
      </c>
      <c r="AC21" s="28">
        <f t="shared" si="16"/>
        <v>0</v>
      </c>
      <c r="AD21" s="28">
        <f t="shared" si="17"/>
        <v>0</v>
      </c>
      <c r="AE21" s="47"/>
      <c r="AF21" s="47"/>
      <c r="AG21" s="31">
        <v>42495</v>
      </c>
    </row>
    <row r="22" spans="1:33" ht="20.100000000000001" customHeight="1" x14ac:dyDescent="0.2">
      <c r="A22" s="47">
        <f t="shared" si="18"/>
        <v>19</v>
      </c>
      <c r="B22" s="47">
        <v>138</v>
      </c>
      <c r="C22" s="47" t="s">
        <v>34</v>
      </c>
      <c r="D22" s="47">
        <v>5</v>
      </c>
      <c r="E22" s="33" t="s">
        <v>53</v>
      </c>
      <c r="F22" s="24">
        <v>20.5</v>
      </c>
      <c r="G22" s="24">
        <v>3.5</v>
      </c>
      <c r="H22" s="25">
        <f t="shared" si="0"/>
        <v>24</v>
      </c>
      <c r="I22" s="26">
        <v>4.5</v>
      </c>
      <c r="J22" s="24">
        <v>5</v>
      </c>
      <c r="K22" s="25">
        <f t="shared" si="4"/>
        <v>1</v>
      </c>
      <c r="L22" s="24">
        <f t="shared" si="1"/>
        <v>1</v>
      </c>
      <c r="M22" s="24">
        <f t="shared" si="2"/>
        <v>3.5</v>
      </c>
      <c r="N22" s="27">
        <v>55000</v>
      </c>
      <c r="O22" s="28">
        <f t="shared" si="5"/>
        <v>46979.166666666664</v>
      </c>
      <c r="P22" s="28">
        <f t="shared" si="6"/>
        <v>8020.833333333333</v>
      </c>
      <c r="Q22" s="28">
        <f t="shared" si="7"/>
        <v>2291.6666666666665</v>
      </c>
      <c r="R22" s="29">
        <f t="shared" si="8"/>
        <v>55000</v>
      </c>
      <c r="S22" s="28">
        <f t="shared" si="9"/>
        <v>23489.583333333332</v>
      </c>
      <c r="T22" s="28">
        <f t="shared" si="10"/>
        <v>4697.916666666667</v>
      </c>
      <c r="U22" s="28">
        <f t="shared" si="11"/>
        <v>18791.666666666668</v>
      </c>
      <c r="V22" s="28">
        <f t="shared" si="12"/>
        <v>28187.5</v>
      </c>
      <c r="W22" s="28">
        <f t="shared" si="13"/>
        <v>1800</v>
      </c>
      <c r="X22" s="28">
        <f t="shared" si="3"/>
        <v>0</v>
      </c>
      <c r="Y22" s="28">
        <f t="shared" si="14"/>
        <v>200</v>
      </c>
      <c r="Z22" s="30">
        <v>5000</v>
      </c>
      <c r="AA22" s="46"/>
      <c r="AB22" s="28">
        <f t="shared" si="15"/>
        <v>48000</v>
      </c>
      <c r="AC22" s="28">
        <f t="shared" si="16"/>
        <v>802.08333333333326</v>
      </c>
      <c r="AD22" s="28">
        <f t="shared" si="17"/>
        <v>802.08333333333326</v>
      </c>
      <c r="AE22" s="47"/>
      <c r="AF22" s="47"/>
      <c r="AG22" s="31">
        <v>42529</v>
      </c>
    </row>
    <row r="23" spans="1:33" ht="20.100000000000001" customHeight="1" x14ac:dyDescent="0.2">
      <c r="A23" s="47">
        <f t="shared" si="18"/>
        <v>20</v>
      </c>
      <c r="B23" s="47">
        <v>143</v>
      </c>
      <c r="C23" s="47" t="s">
        <v>34</v>
      </c>
      <c r="D23" s="47">
        <v>5</v>
      </c>
      <c r="E23" s="33" t="s">
        <v>54</v>
      </c>
      <c r="F23" s="24">
        <v>22</v>
      </c>
      <c r="G23" s="24">
        <v>2</v>
      </c>
      <c r="H23" s="25">
        <f t="shared" si="0"/>
        <v>24</v>
      </c>
      <c r="I23" s="26">
        <v>0</v>
      </c>
      <c r="J23" s="24">
        <v>0</v>
      </c>
      <c r="K23" s="25">
        <f t="shared" si="4"/>
        <v>-4</v>
      </c>
      <c r="L23" s="24">
        <f t="shared" si="1"/>
        <v>0</v>
      </c>
      <c r="M23" s="24">
        <f t="shared" si="2"/>
        <v>0</v>
      </c>
      <c r="N23" s="27">
        <v>132000</v>
      </c>
      <c r="O23" s="28">
        <f t="shared" si="5"/>
        <v>121000</v>
      </c>
      <c r="P23" s="28">
        <f t="shared" si="6"/>
        <v>11000</v>
      </c>
      <c r="Q23" s="28">
        <f t="shared" si="7"/>
        <v>5500</v>
      </c>
      <c r="R23" s="29">
        <f t="shared" si="8"/>
        <v>132000</v>
      </c>
      <c r="S23" s="28">
        <f t="shared" si="9"/>
        <v>60500</v>
      </c>
      <c r="T23" s="28">
        <f t="shared" si="10"/>
        <v>12100</v>
      </c>
      <c r="U23" s="28">
        <f t="shared" si="11"/>
        <v>48400</v>
      </c>
      <c r="V23" s="28">
        <f t="shared" si="12"/>
        <v>72600</v>
      </c>
      <c r="W23" s="28">
        <f t="shared" si="13"/>
        <v>1800</v>
      </c>
      <c r="X23" s="28">
        <f t="shared" si="3"/>
        <v>0</v>
      </c>
      <c r="Y23" s="28">
        <f t="shared" si="14"/>
        <v>200</v>
      </c>
      <c r="Z23" s="46"/>
      <c r="AA23" s="32">
        <v>15000</v>
      </c>
      <c r="AB23" s="28">
        <f t="shared" si="15"/>
        <v>115000</v>
      </c>
      <c r="AC23" s="28">
        <f t="shared" si="16"/>
        <v>0</v>
      </c>
      <c r="AD23" s="28">
        <f t="shared" si="17"/>
        <v>0</v>
      </c>
      <c r="AE23" s="46"/>
      <c r="AF23" s="47"/>
      <c r="AG23" s="31">
        <v>45496</v>
      </c>
    </row>
    <row r="24" spans="1:33" ht="20.100000000000001" customHeight="1" x14ac:dyDescent="0.2">
      <c r="A24" s="47">
        <f t="shared" si="18"/>
        <v>21</v>
      </c>
      <c r="B24" s="47">
        <v>151</v>
      </c>
      <c r="C24" s="47" t="s">
        <v>34</v>
      </c>
      <c r="D24" s="47">
        <v>6</v>
      </c>
      <c r="E24" s="33" t="s">
        <v>55</v>
      </c>
      <c r="F24" s="24">
        <v>23.5</v>
      </c>
      <c r="G24" s="24">
        <v>0.5</v>
      </c>
      <c r="H24" s="25">
        <f t="shared" si="0"/>
        <v>24</v>
      </c>
      <c r="I24" s="26">
        <v>0</v>
      </c>
      <c r="J24" s="24">
        <v>3</v>
      </c>
      <c r="K24" s="25">
        <f t="shared" si="4"/>
        <v>-1</v>
      </c>
      <c r="L24" s="24">
        <f t="shared" si="1"/>
        <v>0</v>
      </c>
      <c r="M24" s="24">
        <f t="shared" si="2"/>
        <v>0</v>
      </c>
      <c r="N24" s="27">
        <v>49500</v>
      </c>
      <c r="O24" s="28">
        <f t="shared" si="5"/>
        <v>48468.75</v>
      </c>
      <c r="P24" s="28">
        <f t="shared" si="6"/>
        <v>1031.25</v>
      </c>
      <c r="Q24" s="28">
        <f t="shared" si="7"/>
        <v>2062.5</v>
      </c>
      <c r="R24" s="29">
        <f t="shared" si="8"/>
        <v>49500</v>
      </c>
      <c r="S24" s="28">
        <f t="shared" si="9"/>
        <v>24234.375</v>
      </c>
      <c r="T24" s="28">
        <f t="shared" si="10"/>
        <v>4846.875</v>
      </c>
      <c r="U24" s="28">
        <f t="shared" si="11"/>
        <v>19387.5</v>
      </c>
      <c r="V24" s="28">
        <f t="shared" si="12"/>
        <v>29081.25</v>
      </c>
      <c r="W24" s="28">
        <f t="shared" si="13"/>
        <v>1800</v>
      </c>
      <c r="X24" s="28">
        <f t="shared" si="3"/>
        <v>0</v>
      </c>
      <c r="Y24" s="28">
        <f t="shared" si="14"/>
        <v>200</v>
      </c>
      <c r="Z24" s="46"/>
      <c r="AA24" s="46"/>
      <c r="AB24" s="28">
        <f t="shared" si="15"/>
        <v>47500</v>
      </c>
      <c r="AC24" s="28">
        <f t="shared" si="16"/>
        <v>0</v>
      </c>
      <c r="AD24" s="28">
        <f t="shared" si="17"/>
        <v>0</v>
      </c>
      <c r="AE24" s="47"/>
      <c r="AF24" s="47"/>
      <c r="AG24" s="31">
        <v>44613</v>
      </c>
    </row>
    <row r="25" spans="1:33" ht="20.100000000000001" customHeight="1" x14ac:dyDescent="0.2">
      <c r="A25" s="47">
        <f t="shared" si="18"/>
        <v>22</v>
      </c>
      <c r="B25" s="47">
        <v>155</v>
      </c>
      <c r="C25" s="47" t="s">
        <v>34</v>
      </c>
      <c r="D25" s="47">
        <v>6</v>
      </c>
      <c r="E25" s="33" t="s">
        <v>56</v>
      </c>
      <c r="F25" s="24">
        <v>20.5</v>
      </c>
      <c r="G25" s="24">
        <v>3.5</v>
      </c>
      <c r="H25" s="25">
        <f t="shared" si="0"/>
        <v>24</v>
      </c>
      <c r="I25" s="26">
        <v>12</v>
      </c>
      <c r="J25" s="24">
        <v>11</v>
      </c>
      <c r="K25" s="25">
        <f t="shared" si="4"/>
        <v>7</v>
      </c>
      <c r="L25" s="24">
        <f t="shared" si="1"/>
        <v>7</v>
      </c>
      <c r="M25" s="24">
        <f t="shared" si="2"/>
        <v>5</v>
      </c>
      <c r="N25" s="27">
        <v>42500</v>
      </c>
      <c r="O25" s="28">
        <f t="shared" si="5"/>
        <v>36302.083333333328</v>
      </c>
      <c r="P25" s="28">
        <f t="shared" si="6"/>
        <v>6197.9166666666661</v>
      </c>
      <c r="Q25" s="28">
        <f t="shared" si="7"/>
        <v>1770.8333333333333</v>
      </c>
      <c r="R25" s="29">
        <f t="shared" si="8"/>
        <v>42499.999999999993</v>
      </c>
      <c r="S25" s="28">
        <f t="shared" si="9"/>
        <v>18151.041666666664</v>
      </c>
      <c r="T25" s="28">
        <f t="shared" si="10"/>
        <v>3630.208333333333</v>
      </c>
      <c r="U25" s="28">
        <f t="shared" si="11"/>
        <v>14520.833333333332</v>
      </c>
      <c r="V25" s="28">
        <f t="shared" si="12"/>
        <v>21781.249999999996</v>
      </c>
      <c r="W25" s="28">
        <f t="shared" si="13"/>
        <v>1800</v>
      </c>
      <c r="X25" s="28">
        <f t="shared" si="3"/>
        <v>0</v>
      </c>
      <c r="Y25" s="28">
        <f t="shared" si="14"/>
        <v>200</v>
      </c>
      <c r="Z25" s="46"/>
      <c r="AA25" s="46"/>
      <c r="AB25" s="28">
        <f t="shared" si="15"/>
        <v>40499.999999999993</v>
      </c>
      <c r="AC25" s="28">
        <f t="shared" si="16"/>
        <v>885.41666666666674</v>
      </c>
      <c r="AD25" s="28">
        <f t="shared" si="17"/>
        <v>885.41666666666674</v>
      </c>
      <c r="AE25" s="47"/>
      <c r="AF25" s="47"/>
      <c r="AG25" s="31">
        <v>44593</v>
      </c>
    </row>
    <row r="26" spans="1:33" ht="20.100000000000001" customHeight="1" x14ac:dyDescent="0.2">
      <c r="A26" s="47">
        <f t="shared" si="18"/>
        <v>23</v>
      </c>
      <c r="B26" s="47">
        <v>174</v>
      </c>
      <c r="C26" s="47" t="s">
        <v>34</v>
      </c>
      <c r="D26" s="47">
        <v>6</v>
      </c>
      <c r="E26" s="33" t="s">
        <v>57</v>
      </c>
      <c r="F26" s="24">
        <v>24</v>
      </c>
      <c r="G26" s="24">
        <v>0</v>
      </c>
      <c r="H26" s="25">
        <f>F26+G26</f>
        <v>24</v>
      </c>
      <c r="I26" s="26">
        <v>0</v>
      </c>
      <c r="J26" s="24">
        <v>4</v>
      </c>
      <c r="K26" s="25">
        <f>J26-$K$2</f>
        <v>0</v>
      </c>
      <c r="L26" s="24">
        <f>IF(K26&gt;=0,K26,IF(K26&lt;0,0))</f>
        <v>0</v>
      </c>
      <c r="M26" s="24">
        <f>I26-L26</f>
        <v>0</v>
      </c>
      <c r="N26" s="27">
        <v>22600</v>
      </c>
      <c r="O26" s="28">
        <f t="shared" si="5"/>
        <v>22600</v>
      </c>
      <c r="P26" s="28">
        <f t="shared" si="6"/>
        <v>0</v>
      </c>
      <c r="Q26" s="28">
        <f t="shared" si="7"/>
        <v>941.66666666666663</v>
      </c>
      <c r="R26" s="29">
        <f t="shared" si="8"/>
        <v>22600</v>
      </c>
      <c r="S26" s="28">
        <f t="shared" si="9"/>
        <v>11300</v>
      </c>
      <c r="T26" s="28">
        <f t="shared" si="10"/>
        <v>2260</v>
      </c>
      <c r="U26" s="28">
        <f t="shared" si="11"/>
        <v>9040</v>
      </c>
      <c r="V26" s="28">
        <f t="shared" si="12"/>
        <v>13560</v>
      </c>
      <c r="W26" s="28">
        <f t="shared" si="13"/>
        <v>1627.2</v>
      </c>
      <c r="X26" s="28">
        <f t="shared" si="3"/>
        <v>0</v>
      </c>
      <c r="Y26" s="28">
        <f t="shared" si="14"/>
        <v>200</v>
      </c>
      <c r="Z26" s="46"/>
      <c r="AA26" s="46"/>
      <c r="AB26" s="28">
        <f t="shared" si="15"/>
        <v>20772.8</v>
      </c>
      <c r="AC26" s="28">
        <f t="shared" si="16"/>
        <v>0</v>
      </c>
      <c r="AD26" s="28">
        <f t="shared" si="17"/>
        <v>0</v>
      </c>
      <c r="AE26" s="47"/>
      <c r="AF26" s="47"/>
      <c r="AG26" s="31">
        <v>44682</v>
      </c>
    </row>
    <row r="27" spans="1:33" ht="20.100000000000001" customHeight="1" x14ac:dyDescent="0.2">
      <c r="A27" s="47">
        <f t="shared" si="18"/>
        <v>24</v>
      </c>
      <c r="B27" s="47">
        <v>193</v>
      </c>
      <c r="C27" s="47" t="s">
        <v>34</v>
      </c>
      <c r="D27" s="47">
        <v>6</v>
      </c>
      <c r="E27" s="33" t="s">
        <v>58</v>
      </c>
      <c r="F27" s="24">
        <v>22</v>
      </c>
      <c r="G27" s="24">
        <v>2</v>
      </c>
      <c r="H27" s="25">
        <f t="shared" si="0"/>
        <v>24</v>
      </c>
      <c r="I27" s="26">
        <v>8</v>
      </c>
      <c r="J27" s="24">
        <v>8.5</v>
      </c>
      <c r="K27" s="25">
        <f t="shared" si="4"/>
        <v>4.5</v>
      </c>
      <c r="L27" s="24">
        <f t="shared" si="1"/>
        <v>4.5</v>
      </c>
      <c r="M27" s="24">
        <f t="shared" si="2"/>
        <v>3.5</v>
      </c>
      <c r="N27" s="27">
        <v>27300</v>
      </c>
      <c r="O27" s="28">
        <f t="shared" si="5"/>
        <v>25025</v>
      </c>
      <c r="P27" s="28">
        <f t="shared" si="6"/>
        <v>2275</v>
      </c>
      <c r="Q27" s="28">
        <f t="shared" si="7"/>
        <v>1137.5</v>
      </c>
      <c r="R27" s="29">
        <f t="shared" si="8"/>
        <v>27300</v>
      </c>
      <c r="S27" s="28">
        <f t="shared" si="9"/>
        <v>12512.5</v>
      </c>
      <c r="T27" s="28">
        <f t="shared" si="10"/>
        <v>2502.5</v>
      </c>
      <c r="U27" s="28">
        <f t="shared" si="11"/>
        <v>10010</v>
      </c>
      <c r="V27" s="28">
        <f t="shared" si="12"/>
        <v>15015</v>
      </c>
      <c r="W27" s="28">
        <f t="shared" si="13"/>
        <v>1800</v>
      </c>
      <c r="X27" s="28">
        <f t="shared" si="3"/>
        <v>0</v>
      </c>
      <c r="Y27" s="28">
        <f t="shared" si="14"/>
        <v>200</v>
      </c>
      <c r="Z27" s="30">
        <v>8000</v>
      </c>
      <c r="AA27" s="46"/>
      <c r="AB27" s="28">
        <f t="shared" si="15"/>
        <v>17300</v>
      </c>
      <c r="AC27" s="28">
        <f t="shared" si="16"/>
        <v>398.125</v>
      </c>
      <c r="AD27" s="28">
        <f t="shared" si="17"/>
        <v>398.125</v>
      </c>
      <c r="AE27" s="47"/>
      <c r="AF27" s="47"/>
      <c r="AG27" s="31">
        <v>43572</v>
      </c>
    </row>
    <row r="28" spans="1:33" ht="20.100000000000001" customHeight="1" x14ac:dyDescent="0.2">
      <c r="A28" s="47">
        <f t="shared" si="18"/>
        <v>25</v>
      </c>
      <c r="B28" s="47">
        <v>200</v>
      </c>
      <c r="C28" s="47" t="s">
        <v>34</v>
      </c>
      <c r="D28" s="47">
        <v>7</v>
      </c>
      <c r="E28" s="33" t="s">
        <v>59</v>
      </c>
      <c r="F28" s="24">
        <v>23</v>
      </c>
      <c r="G28" s="24">
        <v>1</v>
      </c>
      <c r="H28" s="25">
        <f t="shared" si="0"/>
        <v>24</v>
      </c>
      <c r="I28" s="26">
        <v>9.5</v>
      </c>
      <c r="J28" s="24">
        <v>3.5</v>
      </c>
      <c r="K28" s="25">
        <f t="shared" si="4"/>
        <v>-0.5</v>
      </c>
      <c r="L28" s="24">
        <f t="shared" si="1"/>
        <v>0</v>
      </c>
      <c r="M28" s="24">
        <f t="shared" si="2"/>
        <v>9.5</v>
      </c>
      <c r="N28" s="27">
        <v>38500</v>
      </c>
      <c r="O28" s="28">
        <f t="shared" si="5"/>
        <v>36895.833333333336</v>
      </c>
      <c r="P28" s="28">
        <f t="shared" si="6"/>
        <v>1604.1666666666667</v>
      </c>
      <c r="Q28" s="28">
        <f t="shared" si="7"/>
        <v>1604.1666666666667</v>
      </c>
      <c r="R28" s="29">
        <f t="shared" si="8"/>
        <v>38500</v>
      </c>
      <c r="S28" s="28">
        <f t="shared" si="9"/>
        <v>18447.916666666668</v>
      </c>
      <c r="T28" s="28">
        <f t="shared" si="10"/>
        <v>3689.5833333333339</v>
      </c>
      <c r="U28" s="28">
        <f t="shared" si="11"/>
        <v>14758.333333333336</v>
      </c>
      <c r="V28" s="28">
        <f t="shared" si="12"/>
        <v>22137.5</v>
      </c>
      <c r="W28" s="28">
        <f t="shared" si="13"/>
        <v>1800</v>
      </c>
      <c r="X28" s="28">
        <f t="shared" si="3"/>
        <v>0</v>
      </c>
      <c r="Y28" s="28">
        <f t="shared" si="14"/>
        <v>200</v>
      </c>
      <c r="Z28" s="46"/>
      <c r="AA28" s="46"/>
      <c r="AB28" s="28">
        <f t="shared" si="15"/>
        <v>36500</v>
      </c>
      <c r="AC28" s="28">
        <f t="shared" si="16"/>
        <v>1523.9583333333333</v>
      </c>
      <c r="AD28" s="28">
        <f t="shared" si="17"/>
        <v>1523.9583333333333</v>
      </c>
      <c r="AE28" s="47"/>
      <c r="AF28" s="47"/>
      <c r="AG28" s="31">
        <v>43618</v>
      </c>
    </row>
    <row r="29" spans="1:33" ht="20.100000000000001" customHeight="1" x14ac:dyDescent="0.2">
      <c r="A29" s="47">
        <f t="shared" si="18"/>
        <v>26</v>
      </c>
      <c r="B29" s="47">
        <v>209</v>
      </c>
      <c r="C29" s="47" t="s">
        <v>34</v>
      </c>
      <c r="D29" s="47">
        <v>7</v>
      </c>
      <c r="E29" s="33" t="s">
        <v>60</v>
      </c>
      <c r="F29" s="24">
        <v>21</v>
      </c>
      <c r="G29" s="24">
        <v>3</v>
      </c>
      <c r="H29" s="25">
        <f t="shared" si="0"/>
        <v>24</v>
      </c>
      <c r="I29" s="26">
        <v>16</v>
      </c>
      <c r="J29" s="24">
        <v>19.5</v>
      </c>
      <c r="K29" s="25">
        <f t="shared" si="4"/>
        <v>15.5</v>
      </c>
      <c r="L29" s="24">
        <f t="shared" si="1"/>
        <v>15.5</v>
      </c>
      <c r="M29" s="24">
        <f t="shared" si="2"/>
        <v>0.5</v>
      </c>
      <c r="N29" s="27">
        <v>54500</v>
      </c>
      <c r="O29" s="28">
        <f t="shared" si="5"/>
        <v>47687.5</v>
      </c>
      <c r="P29" s="28">
        <f t="shared" si="6"/>
        <v>6812.5</v>
      </c>
      <c r="Q29" s="28">
        <f t="shared" si="7"/>
        <v>2270.8333333333335</v>
      </c>
      <c r="R29" s="29">
        <f t="shared" si="8"/>
        <v>54500</v>
      </c>
      <c r="S29" s="28">
        <f t="shared" si="9"/>
        <v>23843.75</v>
      </c>
      <c r="T29" s="28">
        <f t="shared" si="10"/>
        <v>4768.75</v>
      </c>
      <c r="U29" s="28">
        <f t="shared" si="11"/>
        <v>19075</v>
      </c>
      <c r="V29" s="28">
        <f t="shared" si="12"/>
        <v>28612.5</v>
      </c>
      <c r="W29" s="28">
        <f t="shared" si="13"/>
        <v>1800</v>
      </c>
      <c r="X29" s="28">
        <f t="shared" si="3"/>
        <v>0</v>
      </c>
      <c r="Y29" s="28">
        <f t="shared" si="14"/>
        <v>200</v>
      </c>
      <c r="Z29" s="46"/>
      <c r="AA29" s="46"/>
      <c r="AB29" s="28">
        <f t="shared" si="15"/>
        <v>52500</v>
      </c>
      <c r="AC29" s="28">
        <f t="shared" si="16"/>
        <v>113.54166666666667</v>
      </c>
      <c r="AD29" s="28">
        <f t="shared" si="17"/>
        <v>113.54166666666667</v>
      </c>
      <c r="AE29" s="47"/>
      <c r="AF29" s="47"/>
      <c r="AG29" s="31">
        <v>44840</v>
      </c>
    </row>
    <row r="30" spans="1:33" ht="20.100000000000001" customHeight="1" x14ac:dyDescent="0.2">
      <c r="A30" s="47">
        <f t="shared" si="18"/>
        <v>27</v>
      </c>
      <c r="B30" s="47">
        <v>212</v>
      </c>
      <c r="C30" s="47" t="s">
        <v>34</v>
      </c>
      <c r="D30" s="47">
        <v>7</v>
      </c>
      <c r="E30" s="33" t="s">
        <v>61</v>
      </c>
      <c r="F30" s="24">
        <v>18</v>
      </c>
      <c r="G30" s="24">
        <v>2.5</v>
      </c>
      <c r="H30" s="25">
        <f t="shared" si="0"/>
        <v>20.5</v>
      </c>
      <c r="I30" s="26">
        <v>32</v>
      </c>
      <c r="J30" s="24">
        <v>2.5</v>
      </c>
      <c r="K30" s="25">
        <f t="shared" si="4"/>
        <v>-1.5</v>
      </c>
      <c r="L30" s="24">
        <f t="shared" si="1"/>
        <v>0</v>
      </c>
      <c r="M30" s="24">
        <f t="shared" si="2"/>
        <v>32</v>
      </c>
      <c r="N30" s="27">
        <v>47500</v>
      </c>
      <c r="O30" s="28">
        <f t="shared" si="5"/>
        <v>35625</v>
      </c>
      <c r="P30" s="28">
        <f t="shared" si="6"/>
        <v>4947.916666666667</v>
      </c>
      <c r="Q30" s="28">
        <f t="shared" si="7"/>
        <v>1979.1666666666667</v>
      </c>
      <c r="R30" s="29">
        <f t="shared" si="8"/>
        <v>40572.916666666664</v>
      </c>
      <c r="S30" s="28">
        <f t="shared" si="9"/>
        <v>17812.5</v>
      </c>
      <c r="T30" s="28">
        <f t="shared" si="10"/>
        <v>3562.5</v>
      </c>
      <c r="U30" s="28">
        <f t="shared" si="11"/>
        <v>14250</v>
      </c>
      <c r="V30" s="28">
        <f t="shared" si="12"/>
        <v>21375</v>
      </c>
      <c r="W30" s="28">
        <f t="shared" si="13"/>
        <v>1800</v>
      </c>
      <c r="X30" s="28">
        <f t="shared" si="3"/>
        <v>0</v>
      </c>
      <c r="Y30" s="28">
        <f t="shared" si="14"/>
        <v>200</v>
      </c>
      <c r="Z30" s="30">
        <v>30000</v>
      </c>
      <c r="AA30" s="46"/>
      <c r="AB30" s="28">
        <f t="shared" si="15"/>
        <v>8572.9166666666642</v>
      </c>
      <c r="AC30" s="28">
        <f t="shared" si="16"/>
        <v>6333.333333333333</v>
      </c>
      <c r="AD30" s="28">
        <f t="shared" si="17"/>
        <v>6333.333333333333</v>
      </c>
      <c r="AE30" s="47"/>
      <c r="AF30" s="47"/>
      <c r="AG30" s="31">
        <v>42806</v>
      </c>
    </row>
    <row r="31" spans="1:33" ht="20.100000000000001" customHeight="1" x14ac:dyDescent="0.2">
      <c r="A31" s="47">
        <f t="shared" si="18"/>
        <v>28</v>
      </c>
      <c r="B31" s="47">
        <v>253</v>
      </c>
      <c r="C31" s="47" t="s">
        <v>34</v>
      </c>
      <c r="D31" s="47">
        <v>7</v>
      </c>
      <c r="E31" s="33" t="s">
        <v>62</v>
      </c>
      <c r="F31" s="24">
        <v>23</v>
      </c>
      <c r="G31" s="24">
        <v>1</v>
      </c>
      <c r="H31" s="25">
        <f t="shared" si="0"/>
        <v>24</v>
      </c>
      <c r="I31" s="26">
        <v>4</v>
      </c>
      <c r="J31" s="24">
        <v>7</v>
      </c>
      <c r="K31" s="25">
        <f t="shared" si="4"/>
        <v>3</v>
      </c>
      <c r="L31" s="24">
        <f t="shared" si="1"/>
        <v>3</v>
      </c>
      <c r="M31" s="24">
        <f t="shared" si="2"/>
        <v>1</v>
      </c>
      <c r="N31" s="27">
        <v>43000</v>
      </c>
      <c r="O31" s="28">
        <f t="shared" si="5"/>
        <v>41208.333333333336</v>
      </c>
      <c r="P31" s="28">
        <f t="shared" si="6"/>
        <v>1791.6666666666667</v>
      </c>
      <c r="Q31" s="28">
        <f t="shared" si="7"/>
        <v>1791.6666666666667</v>
      </c>
      <c r="R31" s="29">
        <f t="shared" si="8"/>
        <v>43000</v>
      </c>
      <c r="S31" s="28">
        <f t="shared" si="9"/>
        <v>20604.166666666668</v>
      </c>
      <c r="T31" s="28">
        <f t="shared" si="10"/>
        <v>4120.8333333333339</v>
      </c>
      <c r="U31" s="28">
        <f t="shared" si="11"/>
        <v>16483.333333333336</v>
      </c>
      <c r="V31" s="28">
        <f t="shared" si="12"/>
        <v>24725</v>
      </c>
      <c r="W31" s="28">
        <f t="shared" si="13"/>
        <v>1800</v>
      </c>
      <c r="X31" s="28">
        <f t="shared" si="3"/>
        <v>0</v>
      </c>
      <c r="Y31" s="28">
        <f t="shared" si="14"/>
        <v>200</v>
      </c>
      <c r="Z31" s="46"/>
      <c r="AA31" s="46"/>
      <c r="AB31" s="28">
        <f t="shared" si="15"/>
        <v>41000</v>
      </c>
      <c r="AC31" s="28">
        <f t="shared" si="16"/>
        <v>179.16666666666666</v>
      </c>
      <c r="AD31" s="28">
        <f t="shared" si="17"/>
        <v>179.16666666666666</v>
      </c>
      <c r="AE31" s="47"/>
      <c r="AF31" s="47"/>
      <c r="AG31" s="31">
        <v>44577</v>
      </c>
    </row>
    <row r="32" spans="1:33" ht="20.100000000000001" customHeight="1" x14ac:dyDescent="0.2">
      <c r="A32" s="47">
        <f t="shared" si="18"/>
        <v>29</v>
      </c>
      <c r="B32" s="47">
        <v>259</v>
      </c>
      <c r="C32" s="47" t="s">
        <v>34</v>
      </c>
      <c r="D32" s="47">
        <v>8</v>
      </c>
      <c r="E32" s="33" t="s">
        <v>63</v>
      </c>
      <c r="F32" s="24">
        <v>22</v>
      </c>
      <c r="G32" s="24">
        <v>2</v>
      </c>
      <c r="H32" s="25">
        <f>F32+G32</f>
        <v>24</v>
      </c>
      <c r="I32" s="26">
        <v>0</v>
      </c>
      <c r="J32" s="24">
        <v>3.5</v>
      </c>
      <c r="K32" s="25">
        <f>J32-$K$2</f>
        <v>-0.5</v>
      </c>
      <c r="L32" s="24">
        <f>IF(K32&gt;=0,K32,IF(K32&lt;0,0))</f>
        <v>0</v>
      </c>
      <c r="M32" s="24">
        <f>I32-L32</f>
        <v>0</v>
      </c>
      <c r="N32" s="27">
        <v>22500</v>
      </c>
      <c r="O32" s="28">
        <f t="shared" si="5"/>
        <v>20625</v>
      </c>
      <c r="P32" s="28">
        <f t="shared" si="6"/>
        <v>1875</v>
      </c>
      <c r="Q32" s="28">
        <f t="shared" si="7"/>
        <v>937.5</v>
      </c>
      <c r="R32" s="29">
        <f t="shared" si="8"/>
        <v>22500</v>
      </c>
      <c r="S32" s="28">
        <f t="shared" si="9"/>
        <v>10312.5</v>
      </c>
      <c r="T32" s="28">
        <f t="shared" si="10"/>
        <v>2062.5</v>
      </c>
      <c r="U32" s="28">
        <f t="shared" si="11"/>
        <v>8250</v>
      </c>
      <c r="V32" s="28">
        <f t="shared" si="12"/>
        <v>12375</v>
      </c>
      <c r="W32" s="28">
        <f t="shared" si="13"/>
        <v>1485</v>
      </c>
      <c r="X32" s="28">
        <f t="shared" si="3"/>
        <v>0</v>
      </c>
      <c r="Y32" s="28">
        <f t="shared" si="14"/>
        <v>200</v>
      </c>
      <c r="Z32" s="30">
        <v>10000</v>
      </c>
      <c r="AA32" s="46"/>
      <c r="AB32" s="28">
        <f t="shared" si="15"/>
        <v>10815</v>
      </c>
      <c r="AC32" s="28">
        <f t="shared" si="16"/>
        <v>0</v>
      </c>
      <c r="AD32" s="28">
        <f t="shared" si="17"/>
        <v>0</v>
      </c>
      <c r="AE32" s="47"/>
      <c r="AF32" s="47"/>
      <c r="AG32" s="31">
        <v>43710</v>
      </c>
    </row>
    <row r="33" spans="1:33" ht="20.100000000000001" customHeight="1" x14ac:dyDescent="0.2">
      <c r="A33" s="47">
        <f t="shared" si="18"/>
        <v>30</v>
      </c>
      <c r="B33" s="47">
        <v>272</v>
      </c>
      <c r="C33" s="47" t="s">
        <v>34</v>
      </c>
      <c r="D33" s="47">
        <v>8</v>
      </c>
      <c r="E33" s="33" t="s">
        <v>64</v>
      </c>
      <c r="F33" s="24">
        <v>19.5</v>
      </c>
      <c r="G33" s="24">
        <v>4.5</v>
      </c>
      <c r="H33" s="25">
        <f t="shared" si="0"/>
        <v>24</v>
      </c>
      <c r="I33" s="26">
        <v>11.5</v>
      </c>
      <c r="J33" s="24">
        <v>2.5</v>
      </c>
      <c r="K33" s="25">
        <f t="shared" si="4"/>
        <v>-1.5</v>
      </c>
      <c r="L33" s="24">
        <f t="shared" si="1"/>
        <v>0</v>
      </c>
      <c r="M33" s="24">
        <f t="shared" si="2"/>
        <v>11.5</v>
      </c>
      <c r="N33" s="27">
        <v>32500</v>
      </c>
      <c r="O33" s="28">
        <f t="shared" si="5"/>
        <v>26406.25</v>
      </c>
      <c r="P33" s="28">
        <f t="shared" si="6"/>
        <v>6093.75</v>
      </c>
      <c r="Q33" s="28">
        <f t="shared" si="7"/>
        <v>1354.1666666666667</v>
      </c>
      <c r="R33" s="29">
        <f t="shared" si="8"/>
        <v>32500</v>
      </c>
      <c r="S33" s="28">
        <f t="shared" si="9"/>
        <v>13203.125</v>
      </c>
      <c r="T33" s="28">
        <f t="shared" si="10"/>
        <v>2640.625</v>
      </c>
      <c r="U33" s="28">
        <f t="shared" si="11"/>
        <v>10562.5</v>
      </c>
      <c r="V33" s="28">
        <f t="shared" si="12"/>
        <v>15843.75</v>
      </c>
      <c r="W33" s="28">
        <f t="shared" si="13"/>
        <v>1800</v>
      </c>
      <c r="X33" s="28">
        <f t="shared" si="3"/>
        <v>0</v>
      </c>
      <c r="Y33" s="28">
        <f t="shared" si="14"/>
        <v>200</v>
      </c>
      <c r="Z33" s="46"/>
      <c r="AA33" s="46"/>
      <c r="AB33" s="28">
        <f t="shared" si="15"/>
        <v>30500</v>
      </c>
      <c r="AC33" s="28">
        <f t="shared" si="16"/>
        <v>1557.2916666666665</v>
      </c>
      <c r="AD33" s="28">
        <f t="shared" si="17"/>
        <v>1557.2916666666665</v>
      </c>
      <c r="AE33" s="47"/>
      <c r="AF33" s="47"/>
      <c r="AG33" s="31">
        <v>42894</v>
      </c>
    </row>
    <row r="34" spans="1:33" ht="20.100000000000001" customHeight="1" x14ac:dyDescent="0.2">
      <c r="A34" s="47"/>
      <c r="B34" s="47"/>
      <c r="C34" s="47"/>
      <c r="D34" s="47"/>
      <c r="E34" s="33"/>
      <c r="F34" s="24"/>
      <c r="G34" s="24"/>
      <c r="H34" s="25"/>
      <c r="I34" s="26"/>
      <c r="J34" s="24"/>
      <c r="K34" s="25"/>
      <c r="L34" s="24"/>
      <c r="M34" s="24"/>
      <c r="N34" s="27"/>
      <c r="O34" s="28">
        <f t="shared" si="5"/>
        <v>0</v>
      </c>
      <c r="P34" s="28">
        <f t="shared" si="6"/>
        <v>0</v>
      </c>
      <c r="Q34" s="28">
        <f t="shared" si="7"/>
        <v>0</v>
      </c>
      <c r="R34" s="29">
        <f t="shared" si="8"/>
        <v>0</v>
      </c>
      <c r="S34" s="28">
        <f t="shared" si="9"/>
        <v>0</v>
      </c>
      <c r="T34" s="28">
        <f t="shared" si="10"/>
        <v>0</v>
      </c>
      <c r="U34" s="28">
        <f t="shared" si="11"/>
        <v>0</v>
      </c>
      <c r="V34" s="28">
        <f t="shared" si="12"/>
        <v>0</v>
      </c>
      <c r="W34" s="28">
        <f t="shared" si="13"/>
        <v>0</v>
      </c>
      <c r="X34" s="28">
        <f t="shared" si="3"/>
        <v>0</v>
      </c>
      <c r="Y34" s="28">
        <f t="shared" si="14"/>
        <v>0</v>
      </c>
      <c r="Z34" s="46"/>
      <c r="AA34" s="46"/>
      <c r="AB34" s="28">
        <f t="shared" si="15"/>
        <v>0</v>
      </c>
      <c r="AC34" s="28">
        <f t="shared" si="16"/>
        <v>0</v>
      </c>
      <c r="AD34" s="28">
        <f t="shared" si="17"/>
        <v>0</v>
      </c>
      <c r="AE34" s="47"/>
      <c r="AF34" s="47"/>
      <c r="AG34" s="31"/>
    </row>
    <row r="35" spans="1:33" ht="20.100000000000001" customHeight="1" x14ac:dyDescent="0.2">
      <c r="A35" s="47"/>
      <c r="B35" s="47"/>
      <c r="C35" s="47"/>
      <c r="D35" s="47"/>
      <c r="E35" s="33"/>
      <c r="F35" s="24"/>
      <c r="G35" s="24"/>
      <c r="H35" s="25"/>
      <c r="I35" s="26"/>
      <c r="J35" s="24"/>
      <c r="K35" s="25"/>
      <c r="L35" s="24"/>
      <c r="M35" s="24"/>
      <c r="N35" s="27"/>
      <c r="O35" s="28">
        <f t="shared" si="5"/>
        <v>0</v>
      </c>
      <c r="P35" s="28">
        <f t="shared" si="6"/>
        <v>0</v>
      </c>
      <c r="Q35" s="28">
        <f t="shared" si="7"/>
        <v>0</v>
      </c>
      <c r="R35" s="29">
        <f t="shared" si="8"/>
        <v>0</v>
      </c>
      <c r="S35" s="28">
        <f t="shared" si="9"/>
        <v>0</v>
      </c>
      <c r="T35" s="28">
        <f t="shared" si="10"/>
        <v>0</v>
      </c>
      <c r="U35" s="28">
        <f t="shared" si="11"/>
        <v>0</v>
      </c>
      <c r="V35" s="28">
        <f t="shared" si="12"/>
        <v>0</v>
      </c>
      <c r="W35" s="28">
        <f t="shared" si="13"/>
        <v>0</v>
      </c>
      <c r="X35" s="28">
        <f t="shared" si="3"/>
        <v>0</v>
      </c>
      <c r="Y35" s="28">
        <f t="shared" si="14"/>
        <v>0</v>
      </c>
      <c r="Z35" s="46"/>
      <c r="AA35" s="46"/>
      <c r="AB35" s="28">
        <f t="shared" si="15"/>
        <v>0</v>
      </c>
      <c r="AC35" s="28">
        <f t="shared" si="16"/>
        <v>0</v>
      </c>
      <c r="AD35" s="28">
        <f t="shared" si="17"/>
        <v>0</v>
      </c>
      <c r="AE35" s="47"/>
      <c r="AF35" s="47"/>
      <c r="AG35" s="31"/>
    </row>
    <row r="36" spans="1:33" s="39" customFormat="1" ht="20.100000000000001" customHeight="1" x14ac:dyDescent="0.2">
      <c r="A36" s="48" t="s">
        <v>65</v>
      </c>
      <c r="B36" s="48"/>
      <c r="C36" s="48"/>
      <c r="D36" s="48"/>
      <c r="E36" s="34"/>
      <c r="F36" s="34"/>
      <c r="G36" s="34"/>
      <c r="H36" s="35"/>
      <c r="I36" s="26"/>
      <c r="J36" s="24"/>
      <c r="K36" s="25"/>
      <c r="L36" s="24"/>
      <c r="M36" s="24"/>
      <c r="N36" s="36">
        <f>SUM(N4:N35)</f>
        <v>1381300</v>
      </c>
      <c r="O36" s="36">
        <f t="shared" ref="O36:AF36" si="19">SUM(O4:O35)</f>
        <v>1221270.833333333</v>
      </c>
      <c r="P36" s="37">
        <f t="shared" si="19"/>
        <v>117135.41666666669</v>
      </c>
      <c r="Q36" s="37">
        <f t="shared" si="19"/>
        <v>57554.166666666657</v>
      </c>
      <c r="R36" s="36">
        <f t="shared" si="19"/>
        <v>1338406.25</v>
      </c>
      <c r="S36" s="37">
        <f t="shared" si="19"/>
        <v>610635.41666666651</v>
      </c>
      <c r="T36" s="37">
        <f t="shared" si="19"/>
        <v>122127.08333333331</v>
      </c>
      <c r="U36" s="37">
        <f t="shared" si="19"/>
        <v>488508.33333333326</v>
      </c>
      <c r="V36" s="37">
        <f t="shared" si="19"/>
        <v>732762.5</v>
      </c>
      <c r="W36" s="36">
        <f t="shared" si="19"/>
        <v>50272.65</v>
      </c>
      <c r="X36" s="36">
        <f t="shared" si="19"/>
        <v>0</v>
      </c>
      <c r="Y36" s="36">
        <f t="shared" si="19"/>
        <v>5800</v>
      </c>
      <c r="Z36" s="37">
        <f t="shared" si="19"/>
        <v>108000</v>
      </c>
      <c r="AA36" s="37">
        <f t="shared" si="19"/>
        <v>32500</v>
      </c>
      <c r="AB36" s="36">
        <f t="shared" si="19"/>
        <v>1141833.6000000001</v>
      </c>
      <c r="AC36" s="37">
        <f t="shared" si="19"/>
        <v>35713.749999999993</v>
      </c>
      <c r="AD36" s="36">
        <f t="shared" si="19"/>
        <v>36653.749999999993</v>
      </c>
      <c r="AE36" s="37">
        <f t="shared" si="19"/>
        <v>940</v>
      </c>
      <c r="AF36" s="36">
        <f t="shared" si="19"/>
        <v>0</v>
      </c>
      <c r="AG36" s="38"/>
    </row>
    <row r="37" spans="1:33" ht="20.100000000000001" customHeight="1" x14ac:dyDescent="0.2">
      <c r="A37" s="47">
        <v>31</v>
      </c>
      <c r="B37" s="47">
        <v>273</v>
      </c>
      <c r="C37" s="47" t="s">
        <v>34</v>
      </c>
      <c r="D37" s="47">
        <v>8</v>
      </c>
      <c r="E37" s="33" t="s">
        <v>66</v>
      </c>
      <c r="F37" s="24">
        <v>17.5</v>
      </c>
      <c r="G37" s="24">
        <v>2</v>
      </c>
      <c r="H37" s="25">
        <f>F37+G37</f>
        <v>19.5</v>
      </c>
      <c r="I37" s="26">
        <v>20</v>
      </c>
      <c r="J37" s="24">
        <v>24</v>
      </c>
      <c r="K37" s="25">
        <f>J37-$K$2</f>
        <v>20</v>
      </c>
      <c r="L37" s="24">
        <f>IF(K37&gt;=0,K37,IF(K37&lt;0,0))</f>
        <v>20</v>
      </c>
      <c r="M37" s="24">
        <f>I37-L37</f>
        <v>0</v>
      </c>
      <c r="N37" s="27">
        <v>41500</v>
      </c>
      <c r="O37" s="28">
        <f>F37*Q37</f>
        <v>30260.416666666668</v>
      </c>
      <c r="P37" s="28">
        <f>G37*Q37</f>
        <v>3458.3333333333335</v>
      </c>
      <c r="Q37" s="28">
        <f>N37/$E$2</f>
        <v>1729.1666666666667</v>
      </c>
      <c r="R37" s="29">
        <f>O37+P37</f>
        <v>33718.75</v>
      </c>
      <c r="S37" s="28">
        <f>O37*50%</f>
        <v>15130.208333333334</v>
      </c>
      <c r="T37" s="28">
        <f>O37*10%</f>
        <v>3026.041666666667</v>
      </c>
      <c r="U37" s="28">
        <f>O37*40%</f>
        <v>12104.166666666668</v>
      </c>
      <c r="V37" s="28">
        <f>S37+T37</f>
        <v>18156.25</v>
      </c>
      <c r="W37" s="28">
        <f>IF(V37*12%&gt;1800,1800,IF(V37*12%&lt;1800,V37*12%))</f>
        <v>1800</v>
      </c>
      <c r="X37" s="28">
        <f t="shared" si="3"/>
        <v>0</v>
      </c>
      <c r="Y37" s="28">
        <f>IF(R37&lt;12000,0,IF(R37&gt;12000,200,))</f>
        <v>200</v>
      </c>
      <c r="Z37" s="30">
        <v>10000</v>
      </c>
      <c r="AA37" s="46"/>
      <c r="AB37" s="28">
        <f>R37-W37-X37-Y37-Z37-AA37</f>
        <v>21718.75</v>
      </c>
      <c r="AC37" s="28">
        <f>N37/30/8*M37</f>
        <v>0</v>
      </c>
      <c r="AD37" s="28">
        <f>AC37+AE37</f>
        <v>0</v>
      </c>
      <c r="AE37" s="47"/>
      <c r="AF37" s="47"/>
      <c r="AG37" s="31">
        <v>42897</v>
      </c>
    </row>
    <row r="38" spans="1:33" ht="20.100000000000001" customHeight="1" x14ac:dyDescent="0.2">
      <c r="A38" s="47">
        <f>A37+1</f>
        <v>32</v>
      </c>
      <c r="B38" s="47">
        <v>279</v>
      </c>
      <c r="C38" s="47" t="s">
        <v>34</v>
      </c>
      <c r="D38" s="47">
        <v>8</v>
      </c>
      <c r="E38" s="33" t="s">
        <v>67</v>
      </c>
      <c r="F38" s="24">
        <v>19</v>
      </c>
      <c r="G38" s="24">
        <v>3.5</v>
      </c>
      <c r="H38" s="25">
        <f t="shared" ref="H38:H62" si="20">F38+G38</f>
        <v>22.5</v>
      </c>
      <c r="I38" s="26">
        <v>0</v>
      </c>
      <c r="J38" s="24">
        <v>2.5</v>
      </c>
      <c r="K38" s="25">
        <f t="shared" ref="K38:K62" si="21">J38-$K$2</f>
        <v>-1.5</v>
      </c>
      <c r="L38" s="24">
        <f t="shared" ref="L38:L62" si="22">IF(K38&gt;=0,K38,IF(K38&lt;0,0))</f>
        <v>0</v>
      </c>
      <c r="M38" s="24">
        <f t="shared" ref="M38:M62" si="23">I38-L38</f>
        <v>0</v>
      </c>
      <c r="N38" s="27">
        <v>32200</v>
      </c>
      <c r="O38" s="28">
        <f t="shared" ref="O38:O68" si="24">F38*Q38</f>
        <v>25491.666666666668</v>
      </c>
      <c r="P38" s="28">
        <f t="shared" ref="P38:P68" si="25">G38*Q38</f>
        <v>4695.8333333333339</v>
      </c>
      <c r="Q38" s="28">
        <f t="shared" ref="Q38:Q68" si="26">N38/$E$2</f>
        <v>1341.6666666666667</v>
      </c>
      <c r="R38" s="29">
        <f t="shared" ref="R38:R68" si="27">O38+P38</f>
        <v>30187.5</v>
      </c>
      <c r="S38" s="28">
        <f t="shared" ref="S38:S68" si="28">O38*50%</f>
        <v>12745.833333333334</v>
      </c>
      <c r="T38" s="28">
        <f t="shared" ref="T38:T68" si="29">O38*10%</f>
        <v>2549.166666666667</v>
      </c>
      <c r="U38" s="28">
        <f t="shared" ref="U38:U68" si="30">O38*40%</f>
        <v>10196.666666666668</v>
      </c>
      <c r="V38" s="28">
        <f t="shared" ref="V38:V68" si="31">S38+T38</f>
        <v>15295</v>
      </c>
      <c r="W38" s="28">
        <f t="shared" ref="W38:W68" si="32">IF(V38*12%&gt;1800,1800,IF(V38*12%&lt;1800,V38*12%))</f>
        <v>1800</v>
      </c>
      <c r="X38" s="28">
        <f t="shared" si="3"/>
        <v>0</v>
      </c>
      <c r="Y38" s="28">
        <f t="shared" ref="Y38:Y68" si="33">IF(R38&lt;12000,0,IF(R38&gt;12000,200,))</f>
        <v>200</v>
      </c>
      <c r="Z38" s="46"/>
      <c r="AA38" s="46"/>
      <c r="AB38" s="28">
        <f t="shared" ref="AB38:AB68" si="34">R38-W38-X38-Y38-Z38-AA38</f>
        <v>28187.5</v>
      </c>
      <c r="AC38" s="28">
        <f t="shared" ref="AC38:AC68" si="35">N38/30/8*M38</f>
        <v>0</v>
      </c>
      <c r="AD38" s="28">
        <f t="shared" ref="AD38:AD68" si="36">AC38+AE38</f>
        <v>0</v>
      </c>
      <c r="AE38" s="47"/>
      <c r="AF38" s="47"/>
      <c r="AG38" s="31">
        <v>42904</v>
      </c>
    </row>
    <row r="39" spans="1:33" ht="20.100000000000001" customHeight="1" x14ac:dyDescent="0.2">
      <c r="A39" s="47">
        <f t="shared" ref="A39:A62" si="37">A38+1</f>
        <v>33</v>
      </c>
      <c r="B39" s="47">
        <v>283</v>
      </c>
      <c r="C39" s="47" t="s">
        <v>34</v>
      </c>
      <c r="D39" s="47">
        <v>9</v>
      </c>
      <c r="E39" s="33" t="s">
        <v>68</v>
      </c>
      <c r="F39" s="24">
        <v>18.5</v>
      </c>
      <c r="G39" s="24">
        <v>4</v>
      </c>
      <c r="H39" s="25">
        <f t="shared" si="20"/>
        <v>22.5</v>
      </c>
      <c r="I39" s="26">
        <v>24</v>
      </c>
      <c r="J39" s="24">
        <v>7.5</v>
      </c>
      <c r="K39" s="25">
        <f t="shared" si="21"/>
        <v>3.5</v>
      </c>
      <c r="L39" s="24">
        <f t="shared" si="22"/>
        <v>3.5</v>
      </c>
      <c r="M39" s="24">
        <f t="shared" si="23"/>
        <v>20.5</v>
      </c>
      <c r="N39" s="27">
        <v>42100</v>
      </c>
      <c r="O39" s="28">
        <f t="shared" si="24"/>
        <v>32452.083333333336</v>
      </c>
      <c r="P39" s="28">
        <f t="shared" si="25"/>
        <v>7016.666666666667</v>
      </c>
      <c r="Q39" s="28">
        <f t="shared" si="26"/>
        <v>1754.1666666666667</v>
      </c>
      <c r="R39" s="29">
        <f t="shared" si="27"/>
        <v>39468.75</v>
      </c>
      <c r="S39" s="28">
        <f t="shared" si="28"/>
        <v>16226.041666666668</v>
      </c>
      <c r="T39" s="28">
        <f t="shared" si="29"/>
        <v>3245.2083333333339</v>
      </c>
      <c r="U39" s="28">
        <f t="shared" si="30"/>
        <v>12980.833333333336</v>
      </c>
      <c r="V39" s="28">
        <f t="shared" si="31"/>
        <v>19471.25</v>
      </c>
      <c r="W39" s="28">
        <f t="shared" si="32"/>
        <v>1800</v>
      </c>
      <c r="X39" s="28">
        <f t="shared" si="3"/>
        <v>0</v>
      </c>
      <c r="Y39" s="28">
        <f t="shared" si="33"/>
        <v>200</v>
      </c>
      <c r="Z39" s="30">
        <v>5000</v>
      </c>
      <c r="AA39" s="46"/>
      <c r="AB39" s="28">
        <f t="shared" si="34"/>
        <v>32468.75</v>
      </c>
      <c r="AC39" s="28">
        <f t="shared" si="35"/>
        <v>3596.0416666666665</v>
      </c>
      <c r="AD39" s="28">
        <f t="shared" si="36"/>
        <v>3596.0416666666665</v>
      </c>
      <c r="AE39" s="47"/>
      <c r="AF39" s="47"/>
      <c r="AG39" s="31">
        <v>42918</v>
      </c>
    </row>
    <row r="40" spans="1:33" ht="20.100000000000001" customHeight="1" x14ac:dyDescent="0.2">
      <c r="A40" s="47">
        <f t="shared" si="37"/>
        <v>34</v>
      </c>
      <c r="B40" s="47">
        <v>287</v>
      </c>
      <c r="C40" s="47" t="s">
        <v>34</v>
      </c>
      <c r="D40" s="47">
        <v>9</v>
      </c>
      <c r="E40" s="33" t="s">
        <v>69</v>
      </c>
      <c r="F40" s="24">
        <v>22.5</v>
      </c>
      <c r="G40" s="24">
        <v>1.5</v>
      </c>
      <c r="H40" s="25">
        <f t="shared" si="20"/>
        <v>24</v>
      </c>
      <c r="I40" s="26">
        <v>8</v>
      </c>
      <c r="J40" s="24">
        <v>8.5</v>
      </c>
      <c r="K40" s="25">
        <f t="shared" si="21"/>
        <v>4.5</v>
      </c>
      <c r="L40" s="24">
        <f t="shared" si="22"/>
        <v>4.5</v>
      </c>
      <c r="M40" s="24">
        <f t="shared" si="23"/>
        <v>3.5</v>
      </c>
      <c r="N40" s="27">
        <v>32700</v>
      </c>
      <c r="O40" s="28">
        <f t="shared" si="24"/>
        <v>30656.25</v>
      </c>
      <c r="P40" s="28">
        <f t="shared" si="25"/>
        <v>2043.75</v>
      </c>
      <c r="Q40" s="28">
        <f t="shared" si="26"/>
        <v>1362.5</v>
      </c>
      <c r="R40" s="29">
        <f t="shared" si="27"/>
        <v>32700</v>
      </c>
      <c r="S40" s="28">
        <f t="shared" si="28"/>
        <v>15328.125</v>
      </c>
      <c r="T40" s="28">
        <f t="shared" si="29"/>
        <v>3065.625</v>
      </c>
      <c r="U40" s="28">
        <f t="shared" si="30"/>
        <v>12262.5</v>
      </c>
      <c r="V40" s="28">
        <f t="shared" si="31"/>
        <v>18393.75</v>
      </c>
      <c r="W40" s="28">
        <f t="shared" si="32"/>
        <v>1800</v>
      </c>
      <c r="X40" s="28">
        <f t="shared" si="3"/>
        <v>0</v>
      </c>
      <c r="Y40" s="28">
        <f t="shared" si="33"/>
        <v>200</v>
      </c>
      <c r="Z40" s="46"/>
      <c r="AA40" s="46"/>
      <c r="AB40" s="28">
        <f t="shared" si="34"/>
        <v>30700</v>
      </c>
      <c r="AC40" s="28">
        <f t="shared" si="35"/>
        <v>476.875</v>
      </c>
      <c r="AD40" s="28">
        <f t="shared" si="36"/>
        <v>476.875</v>
      </c>
      <c r="AE40" s="47"/>
      <c r="AF40" s="47"/>
      <c r="AG40" s="31">
        <v>42956</v>
      </c>
    </row>
    <row r="41" spans="1:33" ht="20.100000000000001" customHeight="1" x14ac:dyDescent="0.2">
      <c r="A41" s="47">
        <f t="shared" si="37"/>
        <v>35</v>
      </c>
      <c r="B41" s="47">
        <v>288</v>
      </c>
      <c r="C41" s="47" t="s">
        <v>34</v>
      </c>
      <c r="D41" s="47">
        <v>9</v>
      </c>
      <c r="E41" s="33" t="s">
        <v>70</v>
      </c>
      <c r="F41" s="24">
        <v>21.5</v>
      </c>
      <c r="G41" s="24">
        <v>2.5</v>
      </c>
      <c r="H41" s="25">
        <f t="shared" si="20"/>
        <v>24</v>
      </c>
      <c r="I41" s="26">
        <v>12</v>
      </c>
      <c r="J41" s="24">
        <v>14.5</v>
      </c>
      <c r="K41" s="25">
        <f t="shared" si="21"/>
        <v>10.5</v>
      </c>
      <c r="L41" s="24">
        <f t="shared" si="22"/>
        <v>10.5</v>
      </c>
      <c r="M41" s="24">
        <f t="shared" si="23"/>
        <v>1.5</v>
      </c>
      <c r="N41" s="27">
        <v>56000</v>
      </c>
      <c r="O41" s="28">
        <f t="shared" si="24"/>
        <v>50166.666666666672</v>
      </c>
      <c r="P41" s="28">
        <f t="shared" si="25"/>
        <v>5833.3333333333339</v>
      </c>
      <c r="Q41" s="28">
        <f t="shared" si="26"/>
        <v>2333.3333333333335</v>
      </c>
      <c r="R41" s="29">
        <f t="shared" si="27"/>
        <v>56000.000000000007</v>
      </c>
      <c r="S41" s="28">
        <f t="shared" si="28"/>
        <v>25083.333333333336</v>
      </c>
      <c r="T41" s="28">
        <f t="shared" si="29"/>
        <v>5016.6666666666679</v>
      </c>
      <c r="U41" s="28">
        <f t="shared" si="30"/>
        <v>20066.666666666672</v>
      </c>
      <c r="V41" s="28">
        <f t="shared" si="31"/>
        <v>30100.000000000004</v>
      </c>
      <c r="W41" s="28">
        <f t="shared" si="32"/>
        <v>1800</v>
      </c>
      <c r="X41" s="28">
        <f t="shared" si="3"/>
        <v>0</v>
      </c>
      <c r="Y41" s="28">
        <f t="shared" si="33"/>
        <v>200</v>
      </c>
      <c r="Z41" s="46"/>
      <c r="AA41" s="46"/>
      <c r="AB41" s="28">
        <f t="shared" si="34"/>
        <v>54000.000000000007</v>
      </c>
      <c r="AC41" s="28">
        <f t="shared" si="35"/>
        <v>350</v>
      </c>
      <c r="AD41" s="28">
        <f t="shared" si="36"/>
        <v>350</v>
      </c>
      <c r="AE41" s="47"/>
      <c r="AF41" s="47"/>
      <c r="AG41" s="31">
        <v>43775</v>
      </c>
    </row>
    <row r="42" spans="1:33" ht="20.100000000000001" customHeight="1" x14ac:dyDescent="0.2">
      <c r="A42" s="47">
        <f t="shared" si="37"/>
        <v>36</v>
      </c>
      <c r="B42" s="47">
        <v>309</v>
      </c>
      <c r="C42" s="47" t="s">
        <v>34</v>
      </c>
      <c r="D42" s="47">
        <v>9</v>
      </c>
      <c r="E42" s="33" t="s">
        <v>71</v>
      </c>
      <c r="F42" s="24">
        <v>23</v>
      </c>
      <c r="G42" s="24">
        <v>1</v>
      </c>
      <c r="H42" s="25">
        <f t="shared" si="20"/>
        <v>24</v>
      </c>
      <c r="I42" s="26">
        <v>8</v>
      </c>
      <c r="J42" s="24">
        <v>11</v>
      </c>
      <c r="K42" s="25">
        <f t="shared" si="21"/>
        <v>7</v>
      </c>
      <c r="L42" s="24">
        <f t="shared" si="22"/>
        <v>7</v>
      </c>
      <c r="M42" s="24">
        <f t="shared" si="23"/>
        <v>1</v>
      </c>
      <c r="N42" s="27">
        <v>32000</v>
      </c>
      <c r="O42" s="28">
        <f t="shared" si="24"/>
        <v>30666.666666666664</v>
      </c>
      <c r="P42" s="28">
        <f t="shared" si="25"/>
        <v>1333.3333333333333</v>
      </c>
      <c r="Q42" s="28">
        <f t="shared" si="26"/>
        <v>1333.3333333333333</v>
      </c>
      <c r="R42" s="29">
        <f t="shared" si="27"/>
        <v>31999.999999999996</v>
      </c>
      <c r="S42" s="28">
        <f t="shared" si="28"/>
        <v>15333.333333333332</v>
      </c>
      <c r="T42" s="28">
        <f t="shared" si="29"/>
        <v>3066.6666666666665</v>
      </c>
      <c r="U42" s="28">
        <f t="shared" si="30"/>
        <v>12266.666666666666</v>
      </c>
      <c r="V42" s="28">
        <f t="shared" si="31"/>
        <v>18400</v>
      </c>
      <c r="W42" s="28">
        <f t="shared" si="32"/>
        <v>1800</v>
      </c>
      <c r="X42" s="28">
        <f t="shared" si="3"/>
        <v>0</v>
      </c>
      <c r="Y42" s="28">
        <f t="shared" si="33"/>
        <v>200</v>
      </c>
      <c r="Z42" s="46"/>
      <c r="AA42" s="46"/>
      <c r="AB42" s="28">
        <f t="shared" si="34"/>
        <v>29999.999999999996</v>
      </c>
      <c r="AC42" s="28">
        <f t="shared" si="35"/>
        <v>133.33333333333334</v>
      </c>
      <c r="AD42" s="28">
        <f t="shared" si="36"/>
        <v>133.33333333333334</v>
      </c>
      <c r="AE42" s="47"/>
      <c r="AF42" s="47"/>
      <c r="AG42" s="31">
        <v>43793</v>
      </c>
    </row>
    <row r="43" spans="1:33" ht="20.100000000000001" customHeight="1" x14ac:dyDescent="0.2">
      <c r="A43" s="47">
        <f t="shared" si="37"/>
        <v>37</v>
      </c>
      <c r="B43" s="47">
        <v>438</v>
      </c>
      <c r="C43" s="47" t="s">
        <v>34</v>
      </c>
      <c r="D43" s="47">
        <v>10</v>
      </c>
      <c r="E43" s="33" t="s">
        <v>72</v>
      </c>
      <c r="F43" s="24">
        <v>22</v>
      </c>
      <c r="G43" s="24">
        <v>2</v>
      </c>
      <c r="H43" s="25">
        <f t="shared" si="20"/>
        <v>24</v>
      </c>
      <c r="I43" s="26">
        <v>12.5</v>
      </c>
      <c r="J43" s="24">
        <v>9.5</v>
      </c>
      <c r="K43" s="25">
        <f t="shared" si="21"/>
        <v>5.5</v>
      </c>
      <c r="L43" s="24">
        <f t="shared" si="22"/>
        <v>5.5</v>
      </c>
      <c r="M43" s="24">
        <f t="shared" si="23"/>
        <v>7</v>
      </c>
      <c r="N43" s="27">
        <v>39000</v>
      </c>
      <c r="O43" s="28">
        <f t="shared" si="24"/>
        <v>35750</v>
      </c>
      <c r="P43" s="28">
        <f t="shared" si="25"/>
        <v>3250</v>
      </c>
      <c r="Q43" s="28">
        <f t="shared" si="26"/>
        <v>1625</v>
      </c>
      <c r="R43" s="29">
        <f t="shared" si="27"/>
        <v>39000</v>
      </c>
      <c r="S43" s="28">
        <f t="shared" si="28"/>
        <v>17875</v>
      </c>
      <c r="T43" s="28">
        <f t="shared" si="29"/>
        <v>3575</v>
      </c>
      <c r="U43" s="28">
        <f t="shared" si="30"/>
        <v>14300</v>
      </c>
      <c r="V43" s="28">
        <f t="shared" si="31"/>
        <v>21450</v>
      </c>
      <c r="W43" s="28">
        <f t="shared" si="32"/>
        <v>1800</v>
      </c>
      <c r="X43" s="28">
        <f t="shared" si="3"/>
        <v>0</v>
      </c>
      <c r="Y43" s="28">
        <f t="shared" si="33"/>
        <v>200</v>
      </c>
      <c r="Z43" s="46"/>
      <c r="AA43" s="46"/>
      <c r="AB43" s="28">
        <f t="shared" si="34"/>
        <v>37000</v>
      </c>
      <c r="AC43" s="28">
        <f t="shared" si="35"/>
        <v>1137.5</v>
      </c>
      <c r="AD43" s="28">
        <f t="shared" si="36"/>
        <v>1137.5</v>
      </c>
      <c r="AE43" s="47"/>
      <c r="AF43" s="47"/>
      <c r="AG43" s="31">
        <v>43233</v>
      </c>
    </row>
    <row r="44" spans="1:33" ht="20.100000000000001" customHeight="1" x14ac:dyDescent="0.2">
      <c r="A44" s="47">
        <f t="shared" si="37"/>
        <v>38</v>
      </c>
      <c r="B44" s="47">
        <v>485</v>
      </c>
      <c r="C44" s="47" t="s">
        <v>34</v>
      </c>
      <c r="D44" s="47">
        <v>10</v>
      </c>
      <c r="E44" s="33" t="s">
        <v>73</v>
      </c>
      <c r="F44" s="24">
        <v>23</v>
      </c>
      <c r="G44" s="24">
        <v>1</v>
      </c>
      <c r="H44" s="25">
        <f t="shared" si="20"/>
        <v>24</v>
      </c>
      <c r="I44" s="26">
        <v>0</v>
      </c>
      <c r="J44" s="24">
        <v>2.5</v>
      </c>
      <c r="K44" s="25">
        <f t="shared" si="21"/>
        <v>-1.5</v>
      </c>
      <c r="L44" s="24">
        <f t="shared" si="22"/>
        <v>0</v>
      </c>
      <c r="M44" s="24">
        <f t="shared" si="23"/>
        <v>0</v>
      </c>
      <c r="N44" s="27">
        <v>41000</v>
      </c>
      <c r="O44" s="28">
        <f t="shared" si="24"/>
        <v>39291.666666666664</v>
      </c>
      <c r="P44" s="28">
        <f t="shared" si="25"/>
        <v>1708.3333333333333</v>
      </c>
      <c r="Q44" s="28">
        <f t="shared" si="26"/>
        <v>1708.3333333333333</v>
      </c>
      <c r="R44" s="29">
        <f t="shared" si="27"/>
        <v>41000</v>
      </c>
      <c r="S44" s="28">
        <f t="shared" si="28"/>
        <v>19645.833333333332</v>
      </c>
      <c r="T44" s="28">
        <f t="shared" si="29"/>
        <v>3929.1666666666665</v>
      </c>
      <c r="U44" s="28">
        <f t="shared" si="30"/>
        <v>15716.666666666666</v>
      </c>
      <c r="V44" s="28">
        <f t="shared" si="31"/>
        <v>23575</v>
      </c>
      <c r="W44" s="28">
        <f t="shared" si="32"/>
        <v>1800</v>
      </c>
      <c r="X44" s="28">
        <f t="shared" si="3"/>
        <v>0</v>
      </c>
      <c r="Y44" s="28">
        <f t="shared" si="33"/>
        <v>200</v>
      </c>
      <c r="Z44" s="30">
        <v>5000</v>
      </c>
      <c r="AA44" s="46"/>
      <c r="AB44" s="28">
        <f t="shared" si="34"/>
        <v>34000</v>
      </c>
      <c r="AC44" s="28">
        <f t="shared" si="35"/>
        <v>0</v>
      </c>
      <c r="AD44" s="28">
        <f t="shared" si="36"/>
        <v>500</v>
      </c>
      <c r="AE44" s="46">
        <v>500</v>
      </c>
      <c r="AF44" s="47"/>
      <c r="AG44" s="31">
        <v>43301</v>
      </c>
    </row>
    <row r="45" spans="1:33" ht="20.100000000000001" customHeight="1" x14ac:dyDescent="0.2">
      <c r="A45" s="47">
        <f t="shared" si="37"/>
        <v>39</v>
      </c>
      <c r="B45" s="47">
        <v>500</v>
      </c>
      <c r="C45" s="47" t="s">
        <v>34</v>
      </c>
      <c r="D45" s="47">
        <v>10</v>
      </c>
      <c r="E45" s="33" t="s">
        <v>74</v>
      </c>
      <c r="F45" s="24">
        <v>22.5</v>
      </c>
      <c r="G45" s="24">
        <v>1.5</v>
      </c>
      <c r="H45" s="25">
        <f t="shared" si="20"/>
        <v>24</v>
      </c>
      <c r="I45" s="26">
        <v>3.5</v>
      </c>
      <c r="J45" s="24">
        <v>5.5</v>
      </c>
      <c r="K45" s="25">
        <f t="shared" si="21"/>
        <v>1.5</v>
      </c>
      <c r="L45" s="24">
        <f t="shared" si="22"/>
        <v>1.5</v>
      </c>
      <c r="M45" s="24">
        <f t="shared" si="23"/>
        <v>2</v>
      </c>
      <c r="N45" s="27">
        <v>72000</v>
      </c>
      <c r="O45" s="28">
        <f t="shared" si="24"/>
        <v>67500</v>
      </c>
      <c r="P45" s="28">
        <f t="shared" si="25"/>
        <v>4500</v>
      </c>
      <c r="Q45" s="28">
        <f t="shared" si="26"/>
        <v>3000</v>
      </c>
      <c r="R45" s="29">
        <f t="shared" si="27"/>
        <v>72000</v>
      </c>
      <c r="S45" s="28">
        <f t="shared" si="28"/>
        <v>33750</v>
      </c>
      <c r="T45" s="28">
        <f t="shared" si="29"/>
        <v>6750</v>
      </c>
      <c r="U45" s="28">
        <f t="shared" si="30"/>
        <v>27000</v>
      </c>
      <c r="V45" s="28">
        <f t="shared" si="31"/>
        <v>40500</v>
      </c>
      <c r="W45" s="28">
        <f t="shared" si="32"/>
        <v>1800</v>
      </c>
      <c r="X45" s="28">
        <f t="shared" si="3"/>
        <v>0</v>
      </c>
      <c r="Y45" s="28">
        <f t="shared" si="33"/>
        <v>200</v>
      </c>
      <c r="Z45" s="30">
        <v>10000</v>
      </c>
      <c r="AA45" s="46"/>
      <c r="AB45" s="28">
        <f t="shared" si="34"/>
        <v>60000</v>
      </c>
      <c r="AC45" s="28">
        <f t="shared" si="35"/>
        <v>600</v>
      </c>
      <c r="AD45" s="28">
        <f t="shared" si="36"/>
        <v>600</v>
      </c>
      <c r="AE45" s="47"/>
      <c r="AF45" s="47"/>
      <c r="AG45" s="31">
        <v>44571</v>
      </c>
    </row>
    <row r="46" spans="1:33" ht="20.100000000000001" customHeight="1" x14ac:dyDescent="0.2">
      <c r="A46" s="47">
        <f t="shared" si="37"/>
        <v>40</v>
      </c>
      <c r="B46" s="47">
        <v>574</v>
      </c>
      <c r="C46" s="47" t="s">
        <v>34</v>
      </c>
      <c r="D46" s="47">
        <v>10</v>
      </c>
      <c r="E46" s="33" t="s">
        <v>75</v>
      </c>
      <c r="F46" s="24">
        <v>21</v>
      </c>
      <c r="G46" s="24">
        <v>3</v>
      </c>
      <c r="H46" s="25">
        <f t="shared" si="20"/>
        <v>24</v>
      </c>
      <c r="I46" s="26">
        <v>4</v>
      </c>
      <c r="J46" s="24">
        <v>7</v>
      </c>
      <c r="K46" s="25">
        <f t="shared" si="21"/>
        <v>3</v>
      </c>
      <c r="L46" s="24">
        <f t="shared" si="22"/>
        <v>3</v>
      </c>
      <c r="M46" s="24">
        <f t="shared" si="23"/>
        <v>1</v>
      </c>
      <c r="N46" s="27">
        <v>24900</v>
      </c>
      <c r="O46" s="28">
        <f t="shared" si="24"/>
        <v>21787.5</v>
      </c>
      <c r="P46" s="28">
        <f t="shared" si="25"/>
        <v>3112.5</v>
      </c>
      <c r="Q46" s="28">
        <f t="shared" si="26"/>
        <v>1037.5</v>
      </c>
      <c r="R46" s="29">
        <f t="shared" si="27"/>
        <v>24900</v>
      </c>
      <c r="S46" s="28">
        <f t="shared" si="28"/>
        <v>10893.75</v>
      </c>
      <c r="T46" s="28">
        <f t="shared" si="29"/>
        <v>2178.75</v>
      </c>
      <c r="U46" s="28">
        <f t="shared" si="30"/>
        <v>8715</v>
      </c>
      <c r="V46" s="28">
        <f t="shared" si="31"/>
        <v>13072.5</v>
      </c>
      <c r="W46" s="28">
        <f t="shared" si="32"/>
        <v>1568.7</v>
      </c>
      <c r="X46" s="28">
        <f t="shared" si="3"/>
        <v>0</v>
      </c>
      <c r="Y46" s="28">
        <f t="shared" si="33"/>
        <v>200</v>
      </c>
      <c r="Z46" s="46"/>
      <c r="AA46" s="46"/>
      <c r="AB46" s="28">
        <f t="shared" si="34"/>
        <v>23131.3</v>
      </c>
      <c r="AC46" s="28">
        <f t="shared" si="35"/>
        <v>103.75</v>
      </c>
      <c r="AD46" s="28">
        <f t="shared" si="36"/>
        <v>103.75</v>
      </c>
      <c r="AE46" s="46"/>
      <c r="AF46" s="47"/>
      <c r="AG46" s="31">
        <v>44946</v>
      </c>
    </row>
    <row r="47" spans="1:33" ht="20.100000000000001" customHeight="1" x14ac:dyDescent="0.2">
      <c r="A47" s="47">
        <f t="shared" si="37"/>
        <v>41</v>
      </c>
      <c r="B47" s="47">
        <v>600</v>
      </c>
      <c r="C47" s="47" t="s">
        <v>34</v>
      </c>
      <c r="D47" s="47">
        <v>11</v>
      </c>
      <c r="E47" s="33" t="s">
        <v>76</v>
      </c>
      <c r="F47" s="24">
        <v>19</v>
      </c>
      <c r="G47" s="24">
        <v>3.5</v>
      </c>
      <c r="H47" s="25">
        <f t="shared" si="20"/>
        <v>22.5</v>
      </c>
      <c r="I47" s="26">
        <v>18</v>
      </c>
      <c r="J47" s="24">
        <v>3</v>
      </c>
      <c r="K47" s="25">
        <f t="shared" si="21"/>
        <v>-1</v>
      </c>
      <c r="L47" s="24">
        <f t="shared" si="22"/>
        <v>0</v>
      </c>
      <c r="M47" s="24">
        <f t="shared" si="23"/>
        <v>18</v>
      </c>
      <c r="N47" s="27">
        <v>25300</v>
      </c>
      <c r="O47" s="28">
        <f t="shared" si="24"/>
        <v>20029.166666666668</v>
      </c>
      <c r="P47" s="28">
        <f t="shared" si="25"/>
        <v>3689.5833333333335</v>
      </c>
      <c r="Q47" s="28">
        <f t="shared" si="26"/>
        <v>1054.1666666666667</v>
      </c>
      <c r="R47" s="29">
        <f t="shared" si="27"/>
        <v>23718.75</v>
      </c>
      <c r="S47" s="28">
        <f t="shared" si="28"/>
        <v>10014.583333333334</v>
      </c>
      <c r="T47" s="28">
        <f t="shared" si="29"/>
        <v>2002.916666666667</v>
      </c>
      <c r="U47" s="28">
        <f t="shared" si="30"/>
        <v>8011.6666666666679</v>
      </c>
      <c r="V47" s="28">
        <f t="shared" si="31"/>
        <v>12017.5</v>
      </c>
      <c r="W47" s="28">
        <f t="shared" si="32"/>
        <v>1442.1</v>
      </c>
      <c r="X47" s="28">
        <f t="shared" si="3"/>
        <v>0</v>
      </c>
      <c r="Y47" s="28">
        <f t="shared" si="33"/>
        <v>200</v>
      </c>
      <c r="Z47" s="30">
        <v>6000</v>
      </c>
      <c r="AA47" s="46"/>
      <c r="AB47" s="28">
        <f t="shared" si="34"/>
        <v>16076.650000000001</v>
      </c>
      <c r="AC47" s="28">
        <f t="shared" si="35"/>
        <v>1897.5</v>
      </c>
      <c r="AD47" s="28">
        <f t="shared" si="36"/>
        <v>1897.5</v>
      </c>
      <c r="AE47" s="46"/>
      <c r="AF47" s="47"/>
      <c r="AG47" s="31">
        <v>45042</v>
      </c>
    </row>
    <row r="48" spans="1:33" ht="20.100000000000001" customHeight="1" x14ac:dyDescent="0.2">
      <c r="A48" s="47">
        <f t="shared" si="37"/>
        <v>42</v>
      </c>
      <c r="B48" s="47">
        <v>629</v>
      </c>
      <c r="C48" s="47" t="s">
        <v>34</v>
      </c>
      <c r="D48" s="47">
        <v>11</v>
      </c>
      <c r="E48" s="33" t="s">
        <v>77</v>
      </c>
      <c r="F48" s="24">
        <v>22.5</v>
      </c>
      <c r="G48" s="24">
        <v>1.5</v>
      </c>
      <c r="H48" s="25">
        <f>F48+G48</f>
        <v>24</v>
      </c>
      <c r="I48" s="26">
        <v>23</v>
      </c>
      <c r="J48" s="24">
        <v>4</v>
      </c>
      <c r="K48" s="25">
        <f>J48-$K$2</f>
        <v>0</v>
      </c>
      <c r="L48" s="24">
        <f>IF(K48&gt;=0,K48,IF(K48&lt;0,0))</f>
        <v>0</v>
      </c>
      <c r="M48" s="24">
        <f>I48-L48</f>
        <v>23</v>
      </c>
      <c r="N48" s="27">
        <v>21400</v>
      </c>
      <c r="O48" s="28">
        <f t="shared" si="24"/>
        <v>20062.5</v>
      </c>
      <c r="P48" s="28">
        <f t="shared" si="25"/>
        <v>1337.5</v>
      </c>
      <c r="Q48" s="28">
        <f t="shared" si="26"/>
        <v>891.66666666666663</v>
      </c>
      <c r="R48" s="29">
        <f t="shared" si="27"/>
        <v>21400</v>
      </c>
      <c r="S48" s="28">
        <f t="shared" si="28"/>
        <v>10031.25</v>
      </c>
      <c r="T48" s="28">
        <f t="shared" si="29"/>
        <v>2006.25</v>
      </c>
      <c r="U48" s="28">
        <f t="shared" si="30"/>
        <v>8025</v>
      </c>
      <c r="V48" s="28">
        <f t="shared" si="31"/>
        <v>12037.5</v>
      </c>
      <c r="W48" s="28">
        <f t="shared" si="32"/>
        <v>1444.5</v>
      </c>
      <c r="X48" s="28">
        <f t="shared" si="3"/>
        <v>0</v>
      </c>
      <c r="Y48" s="28">
        <f t="shared" si="33"/>
        <v>200</v>
      </c>
      <c r="Z48" s="46"/>
      <c r="AA48" s="46"/>
      <c r="AB48" s="28">
        <f t="shared" si="34"/>
        <v>19755.5</v>
      </c>
      <c r="AC48" s="28">
        <f t="shared" si="35"/>
        <v>2050.8333333333335</v>
      </c>
      <c r="AD48" s="28">
        <f t="shared" si="36"/>
        <v>2050.8333333333335</v>
      </c>
      <c r="AE48" s="47"/>
      <c r="AF48" s="47"/>
      <c r="AG48" s="31">
        <v>45109</v>
      </c>
    </row>
    <row r="49" spans="1:33" ht="20.100000000000001" customHeight="1" x14ac:dyDescent="0.2">
      <c r="A49" s="47">
        <f t="shared" si="37"/>
        <v>43</v>
      </c>
      <c r="B49" s="47">
        <v>737</v>
      </c>
      <c r="C49" s="47" t="s">
        <v>34</v>
      </c>
      <c r="D49" s="47">
        <v>11</v>
      </c>
      <c r="E49" s="33" t="s">
        <v>78</v>
      </c>
      <c r="F49" s="24">
        <v>22</v>
      </c>
      <c r="G49" s="24">
        <v>2</v>
      </c>
      <c r="H49" s="25">
        <f>F49+G49</f>
        <v>24</v>
      </c>
      <c r="I49" s="26">
        <v>4</v>
      </c>
      <c r="J49" s="24">
        <v>5.5</v>
      </c>
      <c r="K49" s="25">
        <f>J49-$K$2</f>
        <v>1.5</v>
      </c>
      <c r="L49" s="24">
        <f>IF(K49&gt;=0,K49,IF(K49&lt;0,0))</f>
        <v>1.5</v>
      </c>
      <c r="M49" s="24">
        <f>I49-L49</f>
        <v>2.5</v>
      </c>
      <c r="N49" s="27">
        <v>23000</v>
      </c>
      <c r="O49" s="28">
        <f t="shared" si="24"/>
        <v>21083.333333333336</v>
      </c>
      <c r="P49" s="28">
        <f t="shared" si="25"/>
        <v>1916.6666666666667</v>
      </c>
      <c r="Q49" s="28">
        <f t="shared" si="26"/>
        <v>958.33333333333337</v>
      </c>
      <c r="R49" s="29">
        <f t="shared" si="27"/>
        <v>23000.000000000004</v>
      </c>
      <c r="S49" s="28">
        <f t="shared" si="28"/>
        <v>10541.666666666668</v>
      </c>
      <c r="T49" s="28">
        <f t="shared" si="29"/>
        <v>2108.3333333333335</v>
      </c>
      <c r="U49" s="28">
        <f t="shared" si="30"/>
        <v>8433.3333333333339</v>
      </c>
      <c r="V49" s="28">
        <f t="shared" si="31"/>
        <v>12650.000000000002</v>
      </c>
      <c r="W49" s="28">
        <f t="shared" si="32"/>
        <v>1518.0000000000002</v>
      </c>
      <c r="X49" s="28">
        <f t="shared" si="3"/>
        <v>0</v>
      </c>
      <c r="Y49" s="28">
        <f t="shared" si="33"/>
        <v>200</v>
      </c>
      <c r="Z49" s="46"/>
      <c r="AA49" s="46"/>
      <c r="AB49" s="28">
        <f t="shared" si="34"/>
        <v>21282.000000000004</v>
      </c>
      <c r="AC49" s="28">
        <f t="shared" si="35"/>
        <v>239.58333333333331</v>
      </c>
      <c r="AD49" s="28">
        <f t="shared" si="36"/>
        <v>239.58333333333331</v>
      </c>
      <c r="AE49" s="47"/>
      <c r="AF49" s="47"/>
      <c r="AG49" s="31">
        <v>45251</v>
      </c>
    </row>
    <row r="50" spans="1:33" ht="20.100000000000001" customHeight="1" x14ac:dyDescent="0.2">
      <c r="A50" s="47">
        <f t="shared" si="37"/>
        <v>44</v>
      </c>
      <c r="B50" s="47">
        <v>788</v>
      </c>
      <c r="C50" s="47" t="s">
        <v>34</v>
      </c>
      <c r="D50" s="47">
        <v>11</v>
      </c>
      <c r="E50" s="33" t="s">
        <v>79</v>
      </c>
      <c r="F50" s="24">
        <v>15</v>
      </c>
      <c r="G50" s="24">
        <v>5</v>
      </c>
      <c r="H50" s="25">
        <f t="shared" si="20"/>
        <v>20</v>
      </c>
      <c r="I50" s="26">
        <v>0</v>
      </c>
      <c r="J50" s="24">
        <v>2</v>
      </c>
      <c r="K50" s="25">
        <f t="shared" si="21"/>
        <v>-2</v>
      </c>
      <c r="L50" s="24">
        <f t="shared" si="22"/>
        <v>0</v>
      </c>
      <c r="M50" s="24">
        <f t="shared" si="23"/>
        <v>0</v>
      </c>
      <c r="N50" s="27">
        <v>26000</v>
      </c>
      <c r="O50" s="28">
        <f t="shared" si="24"/>
        <v>16249.999999999998</v>
      </c>
      <c r="P50" s="28">
        <f t="shared" si="25"/>
        <v>5416.6666666666661</v>
      </c>
      <c r="Q50" s="28">
        <f t="shared" si="26"/>
        <v>1083.3333333333333</v>
      </c>
      <c r="R50" s="29">
        <f t="shared" si="27"/>
        <v>21666.666666666664</v>
      </c>
      <c r="S50" s="28">
        <f t="shared" si="28"/>
        <v>8124.9999999999991</v>
      </c>
      <c r="T50" s="28">
        <f t="shared" si="29"/>
        <v>1625</v>
      </c>
      <c r="U50" s="28">
        <f t="shared" si="30"/>
        <v>6500</v>
      </c>
      <c r="V50" s="28">
        <f t="shared" si="31"/>
        <v>9750</v>
      </c>
      <c r="W50" s="28">
        <f t="shared" si="32"/>
        <v>1170</v>
      </c>
      <c r="X50" s="28">
        <f t="shared" si="3"/>
        <v>0</v>
      </c>
      <c r="Y50" s="28">
        <f t="shared" si="33"/>
        <v>200</v>
      </c>
      <c r="Z50" s="30">
        <v>8000</v>
      </c>
      <c r="AA50" s="46"/>
      <c r="AB50" s="28">
        <f t="shared" si="34"/>
        <v>12296.666666666664</v>
      </c>
      <c r="AC50" s="28">
        <f t="shared" si="35"/>
        <v>0</v>
      </c>
      <c r="AD50" s="28">
        <f t="shared" si="36"/>
        <v>0</v>
      </c>
      <c r="AE50" s="47"/>
      <c r="AF50" s="47"/>
      <c r="AG50" s="31">
        <v>45294</v>
      </c>
    </row>
    <row r="51" spans="1:33" ht="20.100000000000001" customHeight="1" x14ac:dyDescent="0.2">
      <c r="A51" s="47">
        <f t="shared" si="37"/>
        <v>45</v>
      </c>
      <c r="B51" s="47">
        <v>844</v>
      </c>
      <c r="C51" s="47" t="s">
        <v>34</v>
      </c>
      <c r="D51" s="47">
        <v>12</v>
      </c>
      <c r="E51" s="33" t="s">
        <v>80</v>
      </c>
      <c r="F51" s="24">
        <v>23</v>
      </c>
      <c r="G51" s="24">
        <v>1</v>
      </c>
      <c r="H51" s="25">
        <f t="shared" si="20"/>
        <v>24</v>
      </c>
      <c r="I51" s="26">
        <v>8</v>
      </c>
      <c r="J51" s="24">
        <v>11.5</v>
      </c>
      <c r="K51" s="25">
        <f t="shared" si="21"/>
        <v>7.5</v>
      </c>
      <c r="L51" s="24">
        <f t="shared" si="22"/>
        <v>7.5</v>
      </c>
      <c r="M51" s="24">
        <f t="shared" si="23"/>
        <v>0.5</v>
      </c>
      <c r="N51" s="27">
        <v>54000</v>
      </c>
      <c r="O51" s="28">
        <f t="shared" si="24"/>
        <v>51750</v>
      </c>
      <c r="P51" s="28">
        <f t="shared" si="25"/>
        <v>2250</v>
      </c>
      <c r="Q51" s="28">
        <f t="shared" si="26"/>
        <v>2250</v>
      </c>
      <c r="R51" s="29">
        <f t="shared" si="27"/>
        <v>54000</v>
      </c>
      <c r="S51" s="28">
        <f t="shared" si="28"/>
        <v>25875</v>
      </c>
      <c r="T51" s="28">
        <f t="shared" si="29"/>
        <v>5175</v>
      </c>
      <c r="U51" s="28">
        <f t="shared" si="30"/>
        <v>20700</v>
      </c>
      <c r="V51" s="28">
        <f t="shared" si="31"/>
        <v>31050</v>
      </c>
      <c r="W51" s="28">
        <f t="shared" si="32"/>
        <v>1800</v>
      </c>
      <c r="X51" s="28">
        <f t="shared" si="3"/>
        <v>0</v>
      </c>
      <c r="Y51" s="28">
        <f t="shared" si="33"/>
        <v>200</v>
      </c>
      <c r="Z51" s="46"/>
      <c r="AA51" s="46"/>
      <c r="AB51" s="28">
        <f t="shared" si="34"/>
        <v>52000</v>
      </c>
      <c r="AC51" s="28">
        <f t="shared" si="35"/>
        <v>112.5</v>
      </c>
      <c r="AD51" s="28">
        <f t="shared" si="36"/>
        <v>112.5</v>
      </c>
      <c r="AE51" s="47"/>
      <c r="AF51" s="47"/>
      <c r="AG51" s="31">
        <v>45344</v>
      </c>
    </row>
    <row r="52" spans="1:33" ht="20.100000000000001" customHeight="1" x14ac:dyDescent="0.2">
      <c r="A52" s="47">
        <f t="shared" si="37"/>
        <v>46</v>
      </c>
      <c r="B52" s="47">
        <v>962</v>
      </c>
      <c r="C52" s="47" t="s">
        <v>34</v>
      </c>
      <c r="D52" s="47">
        <v>12</v>
      </c>
      <c r="E52" s="33" t="s">
        <v>81</v>
      </c>
      <c r="F52" s="24">
        <v>20</v>
      </c>
      <c r="G52" s="24">
        <v>4</v>
      </c>
      <c r="H52" s="25">
        <f>F52+G52</f>
        <v>24</v>
      </c>
      <c r="I52" s="26">
        <v>20</v>
      </c>
      <c r="J52" s="24">
        <v>4.5</v>
      </c>
      <c r="K52" s="25">
        <f>J52-$K$2</f>
        <v>0.5</v>
      </c>
      <c r="L52" s="24">
        <f>IF(K52&gt;=0,K52,IF(K52&lt;0,0))</f>
        <v>0.5</v>
      </c>
      <c r="M52" s="24">
        <f>I52-L52</f>
        <v>19.5</v>
      </c>
      <c r="N52" s="27">
        <v>24200</v>
      </c>
      <c r="O52" s="28">
        <f t="shared" si="24"/>
        <v>20166.666666666668</v>
      </c>
      <c r="P52" s="28">
        <f t="shared" si="25"/>
        <v>4033.3333333333335</v>
      </c>
      <c r="Q52" s="28">
        <f t="shared" si="26"/>
        <v>1008.3333333333334</v>
      </c>
      <c r="R52" s="29">
        <f t="shared" si="27"/>
        <v>24200</v>
      </c>
      <c r="S52" s="28">
        <f t="shared" si="28"/>
        <v>10083.333333333334</v>
      </c>
      <c r="T52" s="28">
        <f t="shared" si="29"/>
        <v>2016.666666666667</v>
      </c>
      <c r="U52" s="28">
        <f t="shared" si="30"/>
        <v>8066.6666666666679</v>
      </c>
      <c r="V52" s="28">
        <f t="shared" si="31"/>
        <v>12100</v>
      </c>
      <c r="W52" s="28">
        <f t="shared" si="32"/>
        <v>1452</v>
      </c>
      <c r="X52" s="28">
        <f t="shared" si="3"/>
        <v>0</v>
      </c>
      <c r="Y52" s="28">
        <f t="shared" si="33"/>
        <v>200</v>
      </c>
      <c r="Z52" s="46"/>
      <c r="AA52" s="46"/>
      <c r="AB52" s="28">
        <f t="shared" si="34"/>
        <v>22548</v>
      </c>
      <c r="AC52" s="28">
        <f t="shared" si="35"/>
        <v>1966.25</v>
      </c>
      <c r="AD52" s="28">
        <f t="shared" si="36"/>
        <v>1966.25</v>
      </c>
      <c r="AE52" s="47"/>
      <c r="AF52" s="47"/>
      <c r="AG52" s="31">
        <v>45540</v>
      </c>
    </row>
    <row r="53" spans="1:33" ht="20.100000000000001" customHeight="1" x14ac:dyDescent="0.2">
      <c r="A53" s="47">
        <f t="shared" si="37"/>
        <v>47</v>
      </c>
      <c r="B53" s="47">
        <v>1046</v>
      </c>
      <c r="C53" s="47" t="s">
        <v>34</v>
      </c>
      <c r="D53" s="47">
        <v>12</v>
      </c>
      <c r="E53" s="23" t="s">
        <v>82</v>
      </c>
      <c r="F53" s="24">
        <v>23.5</v>
      </c>
      <c r="G53" s="24">
        <v>0.5</v>
      </c>
      <c r="H53" s="25">
        <f t="shared" si="20"/>
        <v>24</v>
      </c>
      <c r="I53" s="26">
        <v>0</v>
      </c>
      <c r="J53" s="24">
        <v>2</v>
      </c>
      <c r="K53" s="25">
        <f t="shared" si="21"/>
        <v>-2</v>
      </c>
      <c r="L53" s="24">
        <f t="shared" si="22"/>
        <v>0</v>
      </c>
      <c r="M53" s="24">
        <f t="shared" si="23"/>
        <v>0</v>
      </c>
      <c r="N53" s="27">
        <v>32200</v>
      </c>
      <c r="O53" s="28">
        <f t="shared" si="24"/>
        <v>31529.166666666668</v>
      </c>
      <c r="P53" s="28">
        <f t="shared" si="25"/>
        <v>670.83333333333337</v>
      </c>
      <c r="Q53" s="28">
        <f t="shared" si="26"/>
        <v>1341.6666666666667</v>
      </c>
      <c r="R53" s="29">
        <f t="shared" si="27"/>
        <v>32200</v>
      </c>
      <c r="S53" s="28">
        <f t="shared" si="28"/>
        <v>15764.583333333334</v>
      </c>
      <c r="T53" s="28">
        <f t="shared" si="29"/>
        <v>3152.916666666667</v>
      </c>
      <c r="U53" s="28">
        <f t="shared" si="30"/>
        <v>12611.666666666668</v>
      </c>
      <c r="V53" s="28">
        <f t="shared" si="31"/>
        <v>18917.5</v>
      </c>
      <c r="W53" s="28">
        <f t="shared" si="32"/>
        <v>1800</v>
      </c>
      <c r="X53" s="28">
        <f t="shared" si="3"/>
        <v>0</v>
      </c>
      <c r="Y53" s="28">
        <f t="shared" si="33"/>
        <v>200</v>
      </c>
      <c r="Z53" s="46"/>
      <c r="AA53" s="46"/>
      <c r="AB53" s="28">
        <f t="shared" si="34"/>
        <v>30200</v>
      </c>
      <c r="AC53" s="28">
        <f t="shared" si="35"/>
        <v>0</v>
      </c>
      <c r="AD53" s="28">
        <f t="shared" si="36"/>
        <v>0</v>
      </c>
      <c r="AE53" s="47"/>
      <c r="AF53" s="47"/>
      <c r="AG53" s="31" t="s">
        <v>83</v>
      </c>
    </row>
    <row r="54" spans="1:33" ht="20.100000000000001" customHeight="1" x14ac:dyDescent="0.2">
      <c r="A54" s="47">
        <f t="shared" si="37"/>
        <v>48</v>
      </c>
      <c r="B54" s="47">
        <v>1115</v>
      </c>
      <c r="C54" s="47" t="s">
        <v>34</v>
      </c>
      <c r="D54" s="47">
        <v>12</v>
      </c>
      <c r="E54" s="23" t="s">
        <v>84</v>
      </c>
      <c r="F54" s="24">
        <v>23.5</v>
      </c>
      <c r="G54" s="24">
        <v>0.5</v>
      </c>
      <c r="H54" s="25">
        <f t="shared" si="20"/>
        <v>24</v>
      </c>
      <c r="I54" s="26">
        <v>22.5</v>
      </c>
      <c r="J54" s="24">
        <v>2.5</v>
      </c>
      <c r="K54" s="25">
        <f t="shared" si="21"/>
        <v>-1.5</v>
      </c>
      <c r="L54" s="24">
        <f t="shared" si="22"/>
        <v>0</v>
      </c>
      <c r="M54" s="24">
        <f t="shared" si="23"/>
        <v>22.5</v>
      </c>
      <c r="N54" s="27">
        <v>43100</v>
      </c>
      <c r="O54" s="28">
        <f t="shared" si="24"/>
        <v>42202.083333333328</v>
      </c>
      <c r="P54" s="28">
        <f t="shared" si="25"/>
        <v>897.91666666666663</v>
      </c>
      <c r="Q54" s="28">
        <f t="shared" si="26"/>
        <v>1795.8333333333333</v>
      </c>
      <c r="R54" s="29">
        <f t="shared" si="27"/>
        <v>43099.999999999993</v>
      </c>
      <c r="S54" s="28">
        <f t="shared" si="28"/>
        <v>21101.041666666664</v>
      </c>
      <c r="T54" s="28">
        <f t="shared" si="29"/>
        <v>4220.208333333333</v>
      </c>
      <c r="U54" s="28">
        <f t="shared" si="30"/>
        <v>16880.833333333332</v>
      </c>
      <c r="V54" s="28">
        <f t="shared" si="31"/>
        <v>25321.249999999996</v>
      </c>
      <c r="W54" s="28">
        <f t="shared" si="32"/>
        <v>1800</v>
      </c>
      <c r="X54" s="28">
        <f t="shared" si="3"/>
        <v>0</v>
      </c>
      <c r="Y54" s="28">
        <f t="shared" si="33"/>
        <v>200</v>
      </c>
      <c r="Z54" s="46"/>
      <c r="AA54" s="46"/>
      <c r="AB54" s="28">
        <f t="shared" si="34"/>
        <v>41099.999999999993</v>
      </c>
      <c r="AC54" s="28">
        <f t="shared" si="35"/>
        <v>4040.625</v>
      </c>
      <c r="AD54" s="28">
        <f t="shared" si="36"/>
        <v>4040.625</v>
      </c>
      <c r="AE54" s="47"/>
      <c r="AF54" s="47"/>
      <c r="AG54" s="31">
        <v>45873</v>
      </c>
    </row>
    <row r="55" spans="1:33" ht="20.100000000000001" customHeight="1" x14ac:dyDescent="0.2">
      <c r="A55" s="47">
        <f t="shared" si="37"/>
        <v>49</v>
      </c>
      <c r="B55" s="47">
        <v>1118</v>
      </c>
      <c r="C55" s="47" t="s">
        <v>34</v>
      </c>
      <c r="D55" s="47">
        <v>13</v>
      </c>
      <c r="E55" s="23" t="s">
        <v>85</v>
      </c>
      <c r="F55" s="24">
        <v>18</v>
      </c>
      <c r="G55" s="24">
        <v>2.5</v>
      </c>
      <c r="H55" s="25">
        <f t="shared" si="20"/>
        <v>20.5</v>
      </c>
      <c r="I55" s="26">
        <v>8</v>
      </c>
      <c r="J55" s="24">
        <v>8.5</v>
      </c>
      <c r="K55" s="25">
        <f t="shared" si="21"/>
        <v>4.5</v>
      </c>
      <c r="L55" s="24">
        <f t="shared" si="22"/>
        <v>4.5</v>
      </c>
      <c r="M55" s="24">
        <f t="shared" si="23"/>
        <v>3.5</v>
      </c>
      <c r="N55" s="27">
        <v>34000</v>
      </c>
      <c r="O55" s="28">
        <f t="shared" si="24"/>
        <v>25500</v>
      </c>
      <c r="P55" s="28">
        <f t="shared" si="25"/>
        <v>3541.666666666667</v>
      </c>
      <c r="Q55" s="28">
        <f t="shared" si="26"/>
        <v>1416.6666666666667</v>
      </c>
      <c r="R55" s="29">
        <f t="shared" si="27"/>
        <v>29041.666666666668</v>
      </c>
      <c r="S55" s="28">
        <f t="shared" si="28"/>
        <v>12750</v>
      </c>
      <c r="T55" s="28">
        <f t="shared" si="29"/>
        <v>2550</v>
      </c>
      <c r="U55" s="28">
        <f t="shared" si="30"/>
        <v>10200</v>
      </c>
      <c r="V55" s="28">
        <f t="shared" si="31"/>
        <v>15300</v>
      </c>
      <c r="W55" s="28">
        <f t="shared" si="32"/>
        <v>1800</v>
      </c>
      <c r="X55" s="28">
        <f t="shared" si="3"/>
        <v>0</v>
      </c>
      <c r="Y55" s="28">
        <f t="shared" si="33"/>
        <v>200</v>
      </c>
      <c r="Z55" s="46"/>
      <c r="AA55" s="46"/>
      <c r="AB55" s="28">
        <f t="shared" si="34"/>
        <v>27041.666666666668</v>
      </c>
      <c r="AC55" s="28">
        <f t="shared" si="35"/>
        <v>495.83333333333331</v>
      </c>
      <c r="AD55" s="28">
        <f t="shared" si="36"/>
        <v>495.83333333333331</v>
      </c>
      <c r="AE55" s="47"/>
      <c r="AF55" s="47"/>
      <c r="AG55" s="31">
        <v>45887</v>
      </c>
    </row>
    <row r="56" spans="1:33" ht="20.100000000000001" customHeight="1" x14ac:dyDescent="0.2">
      <c r="A56" s="47">
        <f t="shared" si="37"/>
        <v>50</v>
      </c>
      <c r="B56" s="47">
        <v>1144</v>
      </c>
      <c r="C56" s="47" t="s">
        <v>34</v>
      </c>
      <c r="D56" s="47">
        <v>13</v>
      </c>
      <c r="E56" s="23" t="s">
        <v>86</v>
      </c>
      <c r="F56" s="24">
        <v>23.5</v>
      </c>
      <c r="G56" s="24">
        <v>0.5</v>
      </c>
      <c r="H56" s="25">
        <f t="shared" si="20"/>
        <v>24</v>
      </c>
      <c r="I56" s="26">
        <v>0</v>
      </c>
      <c r="J56" s="24">
        <v>3.5</v>
      </c>
      <c r="K56" s="25">
        <f t="shared" si="21"/>
        <v>-0.5</v>
      </c>
      <c r="L56" s="24">
        <f t="shared" si="22"/>
        <v>0</v>
      </c>
      <c r="M56" s="24">
        <f t="shared" si="23"/>
        <v>0</v>
      </c>
      <c r="N56" s="27">
        <v>31100</v>
      </c>
      <c r="O56" s="28">
        <f t="shared" si="24"/>
        <v>30452.083333333332</v>
      </c>
      <c r="P56" s="28">
        <f t="shared" si="25"/>
        <v>647.91666666666663</v>
      </c>
      <c r="Q56" s="28">
        <f t="shared" si="26"/>
        <v>1295.8333333333333</v>
      </c>
      <c r="R56" s="29">
        <f t="shared" si="27"/>
        <v>31100</v>
      </c>
      <c r="S56" s="28">
        <f t="shared" si="28"/>
        <v>15226.041666666666</v>
      </c>
      <c r="T56" s="28">
        <f t="shared" si="29"/>
        <v>3045.2083333333335</v>
      </c>
      <c r="U56" s="28">
        <f t="shared" si="30"/>
        <v>12180.833333333334</v>
      </c>
      <c r="V56" s="28">
        <f t="shared" si="31"/>
        <v>18271.25</v>
      </c>
      <c r="W56" s="28">
        <f t="shared" si="32"/>
        <v>1800</v>
      </c>
      <c r="X56" s="28">
        <f t="shared" si="3"/>
        <v>0</v>
      </c>
      <c r="Y56" s="28">
        <f t="shared" si="33"/>
        <v>200</v>
      </c>
      <c r="Z56" s="46"/>
      <c r="AA56" s="46"/>
      <c r="AB56" s="28">
        <f t="shared" si="34"/>
        <v>29100</v>
      </c>
      <c r="AC56" s="28">
        <f t="shared" si="35"/>
        <v>0</v>
      </c>
      <c r="AD56" s="28">
        <f t="shared" si="36"/>
        <v>0</v>
      </c>
      <c r="AE56" s="47"/>
      <c r="AF56" s="47"/>
      <c r="AG56" s="31">
        <v>45931</v>
      </c>
    </row>
    <row r="57" spans="1:33" ht="20.100000000000001" customHeight="1" x14ac:dyDescent="0.2">
      <c r="A57" s="47">
        <f t="shared" si="37"/>
        <v>51</v>
      </c>
      <c r="B57" s="47">
        <v>1170</v>
      </c>
      <c r="C57" s="47" t="s">
        <v>34</v>
      </c>
      <c r="D57" s="47">
        <v>13</v>
      </c>
      <c r="E57" s="23" t="s">
        <v>87</v>
      </c>
      <c r="F57" s="24">
        <v>24</v>
      </c>
      <c r="G57" s="24">
        <v>0</v>
      </c>
      <c r="H57" s="25">
        <f t="shared" si="20"/>
        <v>24</v>
      </c>
      <c r="I57" s="26">
        <v>16</v>
      </c>
      <c r="J57" s="24">
        <v>5</v>
      </c>
      <c r="K57" s="25">
        <f t="shared" si="21"/>
        <v>1</v>
      </c>
      <c r="L57" s="24">
        <f t="shared" si="22"/>
        <v>1</v>
      </c>
      <c r="M57" s="24">
        <f t="shared" si="23"/>
        <v>15</v>
      </c>
      <c r="N57" s="27">
        <v>29750</v>
      </c>
      <c r="O57" s="28">
        <f t="shared" si="24"/>
        <v>29750</v>
      </c>
      <c r="P57" s="28">
        <f t="shared" si="25"/>
        <v>0</v>
      </c>
      <c r="Q57" s="28">
        <f t="shared" si="26"/>
        <v>1239.5833333333333</v>
      </c>
      <c r="R57" s="29">
        <f t="shared" si="27"/>
        <v>29750</v>
      </c>
      <c r="S57" s="28">
        <f t="shared" si="28"/>
        <v>14875</v>
      </c>
      <c r="T57" s="28">
        <f t="shared" si="29"/>
        <v>2975</v>
      </c>
      <c r="U57" s="28">
        <f t="shared" si="30"/>
        <v>11900</v>
      </c>
      <c r="V57" s="28">
        <f t="shared" si="31"/>
        <v>17850</v>
      </c>
      <c r="W57" s="28">
        <f t="shared" si="32"/>
        <v>1800</v>
      </c>
      <c r="X57" s="28">
        <f t="shared" si="3"/>
        <v>0</v>
      </c>
      <c r="Y57" s="28">
        <f t="shared" si="33"/>
        <v>200</v>
      </c>
      <c r="Z57" s="46"/>
      <c r="AA57" s="46"/>
      <c r="AB57" s="28">
        <f t="shared" si="34"/>
        <v>27750</v>
      </c>
      <c r="AC57" s="28">
        <f t="shared" si="35"/>
        <v>1859.375</v>
      </c>
      <c r="AD57" s="28">
        <f t="shared" si="36"/>
        <v>1859.375</v>
      </c>
      <c r="AE57" s="47"/>
      <c r="AF57" s="47"/>
      <c r="AG57" s="31" t="s">
        <v>88</v>
      </c>
    </row>
    <row r="58" spans="1:33" ht="20.100000000000001" customHeight="1" x14ac:dyDescent="0.2">
      <c r="A58" s="47">
        <f t="shared" si="37"/>
        <v>52</v>
      </c>
      <c r="B58" s="47">
        <v>1210</v>
      </c>
      <c r="C58" s="47" t="s">
        <v>34</v>
      </c>
      <c r="D58" s="47">
        <v>13</v>
      </c>
      <c r="E58" s="23" t="s">
        <v>90</v>
      </c>
      <c r="F58" s="24">
        <v>22.5</v>
      </c>
      <c r="G58" s="24">
        <v>1.5</v>
      </c>
      <c r="H58" s="25">
        <f t="shared" si="20"/>
        <v>24</v>
      </c>
      <c r="I58" s="26">
        <v>10</v>
      </c>
      <c r="J58" s="24">
        <v>3</v>
      </c>
      <c r="K58" s="25">
        <f t="shared" si="21"/>
        <v>-1</v>
      </c>
      <c r="L58" s="24">
        <f t="shared" si="22"/>
        <v>0</v>
      </c>
      <c r="M58" s="24">
        <f t="shared" si="23"/>
        <v>10</v>
      </c>
      <c r="N58" s="27">
        <v>27500</v>
      </c>
      <c r="O58" s="28">
        <f t="shared" si="24"/>
        <v>25781.25</v>
      </c>
      <c r="P58" s="28">
        <f t="shared" si="25"/>
        <v>1718.75</v>
      </c>
      <c r="Q58" s="28">
        <f t="shared" si="26"/>
        <v>1145.8333333333333</v>
      </c>
      <c r="R58" s="29">
        <f t="shared" si="27"/>
        <v>27500</v>
      </c>
      <c r="S58" s="28">
        <f t="shared" si="28"/>
        <v>12890.625</v>
      </c>
      <c r="T58" s="28">
        <f t="shared" si="29"/>
        <v>2578.125</v>
      </c>
      <c r="U58" s="28">
        <f t="shared" si="30"/>
        <v>10312.5</v>
      </c>
      <c r="V58" s="28">
        <f t="shared" si="31"/>
        <v>15468.75</v>
      </c>
      <c r="W58" s="28">
        <f t="shared" si="32"/>
        <v>1800</v>
      </c>
      <c r="X58" s="28">
        <f t="shared" si="3"/>
        <v>0</v>
      </c>
      <c r="Y58" s="28">
        <f t="shared" si="33"/>
        <v>200</v>
      </c>
      <c r="Z58" s="46"/>
      <c r="AA58" s="46"/>
      <c r="AB58" s="28">
        <f t="shared" si="34"/>
        <v>25500</v>
      </c>
      <c r="AC58" s="28">
        <f t="shared" si="35"/>
        <v>1145.8333333333333</v>
      </c>
      <c r="AD58" s="28">
        <f t="shared" si="36"/>
        <v>1145.8333333333333</v>
      </c>
      <c r="AE58" s="47"/>
      <c r="AF58" s="47"/>
      <c r="AG58" s="31" t="s">
        <v>124</v>
      </c>
    </row>
    <row r="59" spans="1:33" ht="20.100000000000001" customHeight="1" x14ac:dyDescent="0.2">
      <c r="A59" s="47">
        <f t="shared" si="37"/>
        <v>53</v>
      </c>
      <c r="B59" s="47">
        <v>1253</v>
      </c>
      <c r="C59" s="47" t="s">
        <v>34</v>
      </c>
      <c r="D59" s="47">
        <v>14</v>
      </c>
      <c r="E59" s="23" t="s">
        <v>125</v>
      </c>
      <c r="F59" s="24">
        <v>17.5</v>
      </c>
      <c r="G59" s="24">
        <v>1.5</v>
      </c>
      <c r="H59" s="25">
        <f t="shared" si="20"/>
        <v>19</v>
      </c>
      <c r="I59" s="26">
        <v>5.5</v>
      </c>
      <c r="J59" s="24">
        <v>4.5</v>
      </c>
      <c r="K59" s="25">
        <f t="shared" si="21"/>
        <v>0.5</v>
      </c>
      <c r="L59" s="24">
        <f t="shared" si="22"/>
        <v>0.5</v>
      </c>
      <c r="M59" s="24">
        <f t="shared" si="23"/>
        <v>5</v>
      </c>
      <c r="N59" s="27">
        <v>27500</v>
      </c>
      <c r="O59" s="28">
        <f t="shared" si="24"/>
        <v>20052.083333333332</v>
      </c>
      <c r="P59" s="28">
        <f t="shared" si="25"/>
        <v>1718.75</v>
      </c>
      <c r="Q59" s="28">
        <f t="shared" si="26"/>
        <v>1145.8333333333333</v>
      </c>
      <c r="R59" s="29">
        <f t="shared" si="27"/>
        <v>21770.833333333332</v>
      </c>
      <c r="S59" s="28">
        <f t="shared" si="28"/>
        <v>10026.041666666666</v>
      </c>
      <c r="T59" s="28">
        <f t="shared" si="29"/>
        <v>2005.2083333333333</v>
      </c>
      <c r="U59" s="28">
        <f t="shared" si="30"/>
        <v>8020.833333333333</v>
      </c>
      <c r="V59" s="28">
        <f t="shared" si="31"/>
        <v>12031.25</v>
      </c>
      <c r="W59" s="28">
        <f t="shared" si="32"/>
        <v>1443.75</v>
      </c>
      <c r="X59" s="28">
        <f t="shared" si="3"/>
        <v>0</v>
      </c>
      <c r="Y59" s="28">
        <f t="shared" si="33"/>
        <v>200</v>
      </c>
      <c r="Z59" s="46"/>
      <c r="AA59" s="46"/>
      <c r="AB59" s="28">
        <f t="shared" si="34"/>
        <v>20127.083333333332</v>
      </c>
      <c r="AC59" s="28">
        <f t="shared" si="35"/>
        <v>572.91666666666663</v>
      </c>
      <c r="AD59" s="28">
        <f t="shared" si="36"/>
        <v>572.91666666666663</v>
      </c>
      <c r="AE59" s="47"/>
      <c r="AF59" s="47"/>
      <c r="AG59" s="31" t="s">
        <v>126</v>
      </c>
    </row>
    <row r="60" spans="1:33" ht="20.100000000000001" customHeight="1" x14ac:dyDescent="0.2">
      <c r="A60" s="47">
        <f t="shared" si="37"/>
        <v>54</v>
      </c>
      <c r="B60" s="47">
        <v>1299</v>
      </c>
      <c r="C60" s="47" t="s">
        <v>34</v>
      </c>
      <c r="D60" s="47">
        <v>14</v>
      </c>
      <c r="E60" s="23" t="s">
        <v>129</v>
      </c>
      <c r="F60" s="24">
        <v>8.5</v>
      </c>
      <c r="G60" s="24">
        <v>0</v>
      </c>
      <c r="H60" s="25">
        <f t="shared" si="20"/>
        <v>8.5</v>
      </c>
      <c r="I60" s="26">
        <v>0</v>
      </c>
      <c r="J60" s="24">
        <v>3.5</v>
      </c>
      <c r="K60" s="25">
        <f t="shared" si="21"/>
        <v>-0.5</v>
      </c>
      <c r="L60" s="24">
        <f t="shared" si="22"/>
        <v>0</v>
      </c>
      <c r="M60" s="24">
        <f t="shared" si="23"/>
        <v>0</v>
      </c>
      <c r="N60" s="27">
        <v>56000</v>
      </c>
      <c r="O60" s="28">
        <f t="shared" si="24"/>
        <v>19833.333333333336</v>
      </c>
      <c r="P60" s="28">
        <f t="shared" si="25"/>
        <v>0</v>
      </c>
      <c r="Q60" s="28">
        <f t="shared" si="26"/>
        <v>2333.3333333333335</v>
      </c>
      <c r="R60" s="29">
        <f t="shared" si="27"/>
        <v>19833.333333333336</v>
      </c>
      <c r="S60" s="28">
        <f t="shared" si="28"/>
        <v>9916.6666666666679</v>
      </c>
      <c r="T60" s="28">
        <f t="shared" si="29"/>
        <v>1983.3333333333337</v>
      </c>
      <c r="U60" s="28">
        <f t="shared" si="30"/>
        <v>7933.3333333333348</v>
      </c>
      <c r="V60" s="28">
        <f t="shared" si="31"/>
        <v>11900.000000000002</v>
      </c>
      <c r="W60" s="28">
        <f t="shared" si="32"/>
        <v>1428.0000000000002</v>
      </c>
      <c r="X60" s="28">
        <f t="shared" si="3"/>
        <v>0</v>
      </c>
      <c r="Y60" s="28">
        <f t="shared" si="33"/>
        <v>200</v>
      </c>
      <c r="Z60" s="46"/>
      <c r="AA60" s="46"/>
      <c r="AB60" s="28">
        <f t="shared" si="34"/>
        <v>18205.333333333336</v>
      </c>
      <c r="AC60" s="28">
        <f t="shared" si="35"/>
        <v>0</v>
      </c>
      <c r="AD60" s="28">
        <f t="shared" si="36"/>
        <v>0</v>
      </c>
      <c r="AE60" s="47"/>
      <c r="AF60" s="47"/>
      <c r="AG60" s="31" t="s">
        <v>130</v>
      </c>
    </row>
    <row r="61" spans="1:33" ht="20.100000000000001" customHeight="1" x14ac:dyDescent="0.2">
      <c r="A61" s="47">
        <f t="shared" si="37"/>
        <v>55</v>
      </c>
      <c r="B61" s="47">
        <v>5001</v>
      </c>
      <c r="C61" s="47" t="s">
        <v>34</v>
      </c>
      <c r="D61" s="47">
        <v>17</v>
      </c>
      <c r="E61" s="33" t="s">
        <v>91</v>
      </c>
      <c r="F61" s="24">
        <v>22.5</v>
      </c>
      <c r="G61" s="24">
        <v>1.5</v>
      </c>
      <c r="H61" s="25">
        <f t="shared" si="20"/>
        <v>24</v>
      </c>
      <c r="I61" s="26">
        <v>0</v>
      </c>
      <c r="J61" s="24">
        <v>0</v>
      </c>
      <c r="K61" s="25">
        <f t="shared" si="21"/>
        <v>-4</v>
      </c>
      <c r="L61" s="24">
        <f t="shared" si="22"/>
        <v>0</v>
      </c>
      <c r="M61" s="24">
        <f t="shared" si="23"/>
        <v>0</v>
      </c>
      <c r="N61" s="27">
        <f>44500+1500</f>
        <v>46000</v>
      </c>
      <c r="O61" s="28">
        <f t="shared" si="24"/>
        <v>43125</v>
      </c>
      <c r="P61" s="28">
        <f t="shared" si="25"/>
        <v>2875</v>
      </c>
      <c r="Q61" s="28">
        <f t="shared" si="26"/>
        <v>1916.6666666666667</v>
      </c>
      <c r="R61" s="29">
        <f t="shared" si="27"/>
        <v>46000</v>
      </c>
      <c r="S61" s="28">
        <f t="shared" si="28"/>
        <v>21562.5</v>
      </c>
      <c r="T61" s="28">
        <f t="shared" si="29"/>
        <v>4312.5</v>
      </c>
      <c r="U61" s="28">
        <f t="shared" si="30"/>
        <v>17250</v>
      </c>
      <c r="V61" s="28">
        <f t="shared" si="31"/>
        <v>25875</v>
      </c>
      <c r="W61" s="28">
        <f t="shared" si="32"/>
        <v>1800</v>
      </c>
      <c r="X61" s="28">
        <f t="shared" si="3"/>
        <v>0</v>
      </c>
      <c r="Y61" s="28">
        <f t="shared" si="33"/>
        <v>200</v>
      </c>
      <c r="Z61" s="46"/>
      <c r="AA61" s="46"/>
      <c r="AB61" s="28">
        <f t="shared" si="34"/>
        <v>44000</v>
      </c>
      <c r="AC61" s="28">
        <f t="shared" si="35"/>
        <v>0</v>
      </c>
      <c r="AD61" s="28">
        <f t="shared" si="36"/>
        <v>0</v>
      </c>
      <c r="AE61" s="47"/>
      <c r="AF61" s="47"/>
      <c r="AG61" s="31">
        <v>43009</v>
      </c>
    </row>
    <row r="62" spans="1:33" ht="20.100000000000001" customHeight="1" x14ac:dyDescent="0.2">
      <c r="A62" s="47">
        <f t="shared" si="37"/>
        <v>56</v>
      </c>
      <c r="B62" s="47">
        <v>5002</v>
      </c>
      <c r="C62" s="47" t="s">
        <v>34</v>
      </c>
      <c r="D62" s="47">
        <v>17</v>
      </c>
      <c r="E62" s="33" t="s">
        <v>92</v>
      </c>
      <c r="F62" s="24">
        <v>24</v>
      </c>
      <c r="G62" s="24">
        <v>0</v>
      </c>
      <c r="H62" s="25">
        <f t="shared" si="20"/>
        <v>24</v>
      </c>
      <c r="I62" s="26">
        <v>0</v>
      </c>
      <c r="J62" s="24">
        <v>0</v>
      </c>
      <c r="K62" s="25">
        <f t="shared" si="21"/>
        <v>-4</v>
      </c>
      <c r="L62" s="24">
        <f t="shared" si="22"/>
        <v>0</v>
      </c>
      <c r="M62" s="24">
        <f t="shared" si="23"/>
        <v>0</v>
      </c>
      <c r="N62" s="27">
        <v>87000</v>
      </c>
      <c r="O62" s="28">
        <f t="shared" si="24"/>
        <v>87000</v>
      </c>
      <c r="P62" s="28">
        <f t="shared" si="25"/>
        <v>0</v>
      </c>
      <c r="Q62" s="28">
        <f t="shared" si="26"/>
        <v>3625</v>
      </c>
      <c r="R62" s="29">
        <f t="shared" si="27"/>
        <v>87000</v>
      </c>
      <c r="S62" s="28">
        <f t="shared" si="28"/>
        <v>43500</v>
      </c>
      <c r="T62" s="28">
        <f t="shared" si="29"/>
        <v>8700</v>
      </c>
      <c r="U62" s="28">
        <f t="shared" si="30"/>
        <v>34800</v>
      </c>
      <c r="V62" s="28">
        <f t="shared" si="31"/>
        <v>52200</v>
      </c>
      <c r="W62" s="28">
        <f t="shared" si="32"/>
        <v>1800</v>
      </c>
      <c r="X62" s="28">
        <f t="shared" si="3"/>
        <v>0</v>
      </c>
      <c r="Y62" s="28">
        <f t="shared" si="33"/>
        <v>200</v>
      </c>
      <c r="Z62" s="30">
        <v>10000</v>
      </c>
      <c r="AA62" s="46"/>
      <c r="AB62" s="28">
        <f t="shared" si="34"/>
        <v>75000</v>
      </c>
      <c r="AC62" s="28">
        <f t="shared" si="35"/>
        <v>0</v>
      </c>
      <c r="AD62" s="28">
        <f t="shared" si="36"/>
        <v>0</v>
      </c>
      <c r="AE62" s="47"/>
      <c r="AF62" s="47"/>
      <c r="AG62" s="31">
        <v>34824</v>
      </c>
    </row>
    <row r="63" spans="1:33" ht="20.100000000000001" customHeight="1" x14ac:dyDescent="0.2">
      <c r="A63" s="47"/>
      <c r="B63" s="47"/>
      <c r="C63" s="47"/>
      <c r="D63" s="47"/>
      <c r="E63" s="33"/>
      <c r="F63" s="24"/>
      <c r="G63" s="24"/>
      <c r="H63" s="25"/>
      <c r="I63" s="26"/>
      <c r="J63" s="24"/>
      <c r="K63" s="25"/>
      <c r="L63" s="24"/>
      <c r="M63" s="24"/>
      <c r="N63" s="27"/>
      <c r="O63" s="28">
        <f t="shared" si="24"/>
        <v>0</v>
      </c>
      <c r="P63" s="28">
        <f t="shared" si="25"/>
        <v>0</v>
      </c>
      <c r="Q63" s="28">
        <f t="shared" si="26"/>
        <v>0</v>
      </c>
      <c r="R63" s="29">
        <f t="shared" si="27"/>
        <v>0</v>
      </c>
      <c r="S63" s="28">
        <f t="shared" si="28"/>
        <v>0</v>
      </c>
      <c r="T63" s="28">
        <f t="shared" si="29"/>
        <v>0</v>
      </c>
      <c r="U63" s="28">
        <f t="shared" si="30"/>
        <v>0</v>
      </c>
      <c r="V63" s="28">
        <f t="shared" si="31"/>
        <v>0</v>
      </c>
      <c r="W63" s="28">
        <f t="shared" si="32"/>
        <v>0</v>
      </c>
      <c r="X63" s="28">
        <f t="shared" si="3"/>
        <v>0</v>
      </c>
      <c r="Y63" s="28">
        <f t="shared" si="33"/>
        <v>0</v>
      </c>
      <c r="Z63" s="46"/>
      <c r="AA63" s="46"/>
      <c r="AB63" s="28">
        <f t="shared" si="34"/>
        <v>0</v>
      </c>
      <c r="AC63" s="28">
        <f t="shared" si="35"/>
        <v>0</v>
      </c>
      <c r="AD63" s="28">
        <f t="shared" si="36"/>
        <v>0</v>
      </c>
      <c r="AE63" s="47"/>
      <c r="AF63" s="47"/>
      <c r="AG63" s="31"/>
    </row>
    <row r="64" spans="1:33" ht="20.100000000000001" customHeight="1" x14ac:dyDescent="0.2">
      <c r="A64" s="47"/>
      <c r="B64" s="47"/>
      <c r="C64" s="47"/>
      <c r="D64" s="47"/>
      <c r="E64" s="33"/>
      <c r="F64" s="24"/>
      <c r="G64" s="24"/>
      <c r="H64" s="25"/>
      <c r="I64" s="26"/>
      <c r="J64" s="24"/>
      <c r="K64" s="25"/>
      <c r="L64" s="24"/>
      <c r="M64" s="24"/>
      <c r="N64" s="27"/>
      <c r="O64" s="28">
        <f t="shared" si="24"/>
        <v>0</v>
      </c>
      <c r="P64" s="28">
        <f t="shared" si="25"/>
        <v>0</v>
      </c>
      <c r="Q64" s="28">
        <f t="shared" si="26"/>
        <v>0</v>
      </c>
      <c r="R64" s="29">
        <f t="shared" si="27"/>
        <v>0</v>
      </c>
      <c r="S64" s="28">
        <f t="shared" si="28"/>
        <v>0</v>
      </c>
      <c r="T64" s="28">
        <f t="shared" si="29"/>
        <v>0</v>
      </c>
      <c r="U64" s="28">
        <f t="shared" si="30"/>
        <v>0</v>
      </c>
      <c r="V64" s="28">
        <f t="shared" si="31"/>
        <v>0</v>
      </c>
      <c r="W64" s="28">
        <f t="shared" si="32"/>
        <v>0</v>
      </c>
      <c r="X64" s="28">
        <f t="shared" si="3"/>
        <v>0</v>
      </c>
      <c r="Y64" s="28">
        <f t="shared" si="33"/>
        <v>0</v>
      </c>
      <c r="Z64" s="46"/>
      <c r="AA64" s="46"/>
      <c r="AB64" s="28">
        <f t="shared" si="34"/>
        <v>0</v>
      </c>
      <c r="AC64" s="28">
        <f t="shared" si="35"/>
        <v>0</v>
      </c>
      <c r="AD64" s="28">
        <f t="shared" si="36"/>
        <v>0</v>
      </c>
      <c r="AE64" s="47"/>
      <c r="AF64" s="47"/>
      <c r="AG64" s="31"/>
    </row>
    <row r="65" spans="1:33" ht="20.100000000000001" customHeight="1" x14ac:dyDescent="0.2">
      <c r="A65" s="47"/>
      <c r="B65" s="47"/>
      <c r="C65" s="47"/>
      <c r="D65" s="47"/>
      <c r="E65" s="33"/>
      <c r="F65" s="24"/>
      <c r="G65" s="24"/>
      <c r="H65" s="25"/>
      <c r="I65" s="26"/>
      <c r="J65" s="24"/>
      <c r="K65" s="25"/>
      <c r="L65" s="24"/>
      <c r="M65" s="24"/>
      <c r="N65" s="27"/>
      <c r="O65" s="28">
        <f t="shared" si="24"/>
        <v>0</v>
      </c>
      <c r="P65" s="28">
        <f t="shared" si="25"/>
        <v>0</v>
      </c>
      <c r="Q65" s="28">
        <f t="shared" si="26"/>
        <v>0</v>
      </c>
      <c r="R65" s="29">
        <f t="shared" si="27"/>
        <v>0</v>
      </c>
      <c r="S65" s="28">
        <f t="shared" si="28"/>
        <v>0</v>
      </c>
      <c r="T65" s="28">
        <f t="shared" si="29"/>
        <v>0</v>
      </c>
      <c r="U65" s="28">
        <f t="shared" si="30"/>
        <v>0</v>
      </c>
      <c r="V65" s="28">
        <f t="shared" si="31"/>
        <v>0</v>
      </c>
      <c r="W65" s="28">
        <f t="shared" si="32"/>
        <v>0</v>
      </c>
      <c r="X65" s="28">
        <f t="shared" si="3"/>
        <v>0</v>
      </c>
      <c r="Y65" s="28">
        <f t="shared" si="33"/>
        <v>0</v>
      </c>
      <c r="Z65" s="46"/>
      <c r="AA65" s="46"/>
      <c r="AB65" s="28">
        <f t="shared" si="34"/>
        <v>0</v>
      </c>
      <c r="AC65" s="28">
        <f t="shared" si="35"/>
        <v>0</v>
      </c>
      <c r="AD65" s="28">
        <f t="shared" si="36"/>
        <v>0</v>
      </c>
      <c r="AE65" s="47"/>
      <c r="AF65" s="47"/>
      <c r="AG65" s="31"/>
    </row>
    <row r="66" spans="1:33" ht="20.100000000000001" customHeight="1" x14ac:dyDescent="0.2">
      <c r="A66" s="47"/>
      <c r="B66" s="47"/>
      <c r="C66" s="47"/>
      <c r="D66" s="47"/>
      <c r="E66" s="33"/>
      <c r="F66" s="24"/>
      <c r="G66" s="24"/>
      <c r="H66" s="25"/>
      <c r="I66" s="26"/>
      <c r="J66" s="24"/>
      <c r="K66" s="25"/>
      <c r="L66" s="24"/>
      <c r="M66" s="24"/>
      <c r="N66" s="27"/>
      <c r="O66" s="28">
        <f t="shared" si="24"/>
        <v>0</v>
      </c>
      <c r="P66" s="28">
        <f t="shared" si="25"/>
        <v>0</v>
      </c>
      <c r="Q66" s="28">
        <f t="shared" si="26"/>
        <v>0</v>
      </c>
      <c r="R66" s="29">
        <f t="shared" si="27"/>
        <v>0</v>
      </c>
      <c r="S66" s="28">
        <f t="shared" si="28"/>
        <v>0</v>
      </c>
      <c r="T66" s="28">
        <f t="shared" si="29"/>
        <v>0</v>
      </c>
      <c r="U66" s="28">
        <f t="shared" si="30"/>
        <v>0</v>
      </c>
      <c r="V66" s="28">
        <f t="shared" si="31"/>
        <v>0</v>
      </c>
      <c r="W66" s="28">
        <f t="shared" si="32"/>
        <v>0</v>
      </c>
      <c r="X66" s="28">
        <f t="shared" si="3"/>
        <v>0</v>
      </c>
      <c r="Y66" s="28">
        <f t="shared" si="33"/>
        <v>0</v>
      </c>
      <c r="Z66" s="46"/>
      <c r="AA66" s="46"/>
      <c r="AB66" s="28">
        <f t="shared" si="34"/>
        <v>0</v>
      </c>
      <c r="AC66" s="28">
        <f t="shared" si="35"/>
        <v>0</v>
      </c>
      <c r="AD66" s="28">
        <f t="shared" si="36"/>
        <v>0</v>
      </c>
      <c r="AE66" s="47"/>
      <c r="AF66" s="47"/>
      <c r="AG66" s="31"/>
    </row>
    <row r="67" spans="1:33" ht="20.100000000000001" customHeight="1" x14ac:dyDescent="0.2">
      <c r="A67" s="46"/>
      <c r="B67" s="47"/>
      <c r="C67" s="47"/>
      <c r="D67" s="47"/>
      <c r="E67" s="10"/>
      <c r="F67" s="10"/>
      <c r="G67" s="10"/>
      <c r="H67" s="26"/>
      <c r="I67" s="26"/>
      <c r="J67" s="24"/>
      <c r="K67" s="25"/>
      <c r="L67" s="24"/>
      <c r="M67" s="24"/>
      <c r="N67" s="27"/>
      <c r="O67" s="28">
        <f t="shared" si="24"/>
        <v>0</v>
      </c>
      <c r="P67" s="28">
        <f t="shared" si="25"/>
        <v>0</v>
      </c>
      <c r="Q67" s="28">
        <f t="shared" si="26"/>
        <v>0</v>
      </c>
      <c r="R67" s="29">
        <f t="shared" si="27"/>
        <v>0</v>
      </c>
      <c r="S67" s="28">
        <f t="shared" si="28"/>
        <v>0</v>
      </c>
      <c r="T67" s="28">
        <f t="shared" si="29"/>
        <v>0</v>
      </c>
      <c r="U67" s="28">
        <f t="shared" si="30"/>
        <v>0</v>
      </c>
      <c r="V67" s="28">
        <f t="shared" si="31"/>
        <v>0</v>
      </c>
      <c r="W67" s="28">
        <f t="shared" si="32"/>
        <v>0</v>
      </c>
      <c r="X67" s="28">
        <f t="shared" si="3"/>
        <v>0</v>
      </c>
      <c r="Y67" s="28">
        <f t="shared" si="33"/>
        <v>0</v>
      </c>
      <c r="Z67" s="46"/>
      <c r="AA67" s="46"/>
      <c r="AB67" s="28">
        <f t="shared" si="34"/>
        <v>0</v>
      </c>
      <c r="AC67" s="28">
        <f t="shared" si="35"/>
        <v>0</v>
      </c>
      <c r="AD67" s="28">
        <f t="shared" si="36"/>
        <v>0</v>
      </c>
      <c r="AE67" s="10"/>
      <c r="AF67" s="10"/>
      <c r="AG67" s="15"/>
    </row>
    <row r="68" spans="1:33" ht="20.100000000000001" customHeight="1" x14ac:dyDescent="0.2">
      <c r="A68" s="46"/>
      <c r="B68" s="47"/>
      <c r="C68" s="47"/>
      <c r="D68" s="47"/>
      <c r="E68" s="10"/>
      <c r="F68" s="10"/>
      <c r="G68" s="10"/>
      <c r="H68" s="26"/>
      <c r="I68" s="26"/>
      <c r="J68" s="24"/>
      <c r="K68" s="25"/>
      <c r="L68" s="24"/>
      <c r="M68" s="24"/>
      <c r="N68" s="27"/>
      <c r="O68" s="28">
        <f t="shared" si="24"/>
        <v>0</v>
      </c>
      <c r="P68" s="28">
        <f t="shared" si="25"/>
        <v>0</v>
      </c>
      <c r="Q68" s="28">
        <f t="shared" si="26"/>
        <v>0</v>
      </c>
      <c r="R68" s="29">
        <f t="shared" si="27"/>
        <v>0</v>
      </c>
      <c r="S68" s="28">
        <f t="shared" si="28"/>
        <v>0</v>
      </c>
      <c r="T68" s="28">
        <f t="shared" si="29"/>
        <v>0</v>
      </c>
      <c r="U68" s="28">
        <f t="shared" si="30"/>
        <v>0</v>
      </c>
      <c r="V68" s="28">
        <f t="shared" si="31"/>
        <v>0</v>
      </c>
      <c r="W68" s="28">
        <f t="shared" si="32"/>
        <v>0</v>
      </c>
      <c r="X68" s="28">
        <f t="shared" ref="X68" si="38">IF(AND(N68 &gt;21000, R68&gt;0),0,IF(N68&lt;21000, O68*0.75%,""))</f>
        <v>0</v>
      </c>
      <c r="Y68" s="28">
        <f t="shared" si="33"/>
        <v>0</v>
      </c>
      <c r="Z68" s="46"/>
      <c r="AA68" s="46"/>
      <c r="AB68" s="28">
        <f t="shared" si="34"/>
        <v>0</v>
      </c>
      <c r="AC68" s="28">
        <f t="shared" si="35"/>
        <v>0</v>
      </c>
      <c r="AD68" s="28">
        <f t="shared" si="36"/>
        <v>0</v>
      </c>
      <c r="AE68" s="10"/>
      <c r="AF68" s="10"/>
      <c r="AG68" s="15"/>
    </row>
    <row r="69" spans="1:33" s="39" customFormat="1" ht="20.100000000000001" customHeight="1" x14ac:dyDescent="0.2">
      <c r="A69" s="48" t="s">
        <v>93</v>
      </c>
      <c r="B69" s="48"/>
      <c r="C69" s="48"/>
      <c r="D69" s="48"/>
      <c r="E69" s="34"/>
      <c r="F69" s="34"/>
      <c r="G69" s="34"/>
      <c r="H69" s="35"/>
      <c r="I69" s="26"/>
      <c r="J69" s="24"/>
      <c r="K69" s="25"/>
      <c r="L69" s="24"/>
      <c r="M69" s="24"/>
      <c r="N69" s="36">
        <f t="shared" ref="N69:AF69" si="39">SUM(N37:N68)</f>
        <v>1001450</v>
      </c>
      <c r="O69" s="36">
        <f t="shared" si="39"/>
        <v>868589.58333333349</v>
      </c>
      <c r="P69" s="37">
        <f t="shared" si="39"/>
        <v>67666.666666666657</v>
      </c>
      <c r="Q69" s="37">
        <f t="shared" si="39"/>
        <v>41727.083333333328</v>
      </c>
      <c r="R69" s="36">
        <f t="shared" si="39"/>
        <v>936256.25000000012</v>
      </c>
      <c r="S69" s="37">
        <f t="shared" si="39"/>
        <v>434294.79166666674</v>
      </c>
      <c r="T69" s="37">
        <f t="shared" si="39"/>
        <v>86858.958333333328</v>
      </c>
      <c r="U69" s="37">
        <f t="shared" si="39"/>
        <v>347435.83333333331</v>
      </c>
      <c r="V69" s="37">
        <f t="shared" si="39"/>
        <v>521153.75</v>
      </c>
      <c r="W69" s="36">
        <f t="shared" si="39"/>
        <v>43867.05</v>
      </c>
      <c r="X69" s="36">
        <f t="shared" si="39"/>
        <v>0</v>
      </c>
      <c r="Y69" s="36">
        <f t="shared" si="39"/>
        <v>5200</v>
      </c>
      <c r="Z69" s="37">
        <f t="shared" si="39"/>
        <v>54000</v>
      </c>
      <c r="AA69" s="37">
        <f t="shared" si="39"/>
        <v>0</v>
      </c>
      <c r="AB69" s="36">
        <f t="shared" si="39"/>
        <v>833189.20000000007</v>
      </c>
      <c r="AC69" s="37">
        <f t="shared" si="39"/>
        <v>20778.75</v>
      </c>
      <c r="AD69" s="36">
        <f t="shared" si="39"/>
        <v>21278.75</v>
      </c>
      <c r="AE69" s="37">
        <f t="shared" si="39"/>
        <v>500</v>
      </c>
      <c r="AF69" s="36">
        <f t="shared" si="39"/>
        <v>0</v>
      </c>
      <c r="AG69" s="38"/>
    </row>
    <row r="70" spans="1:33" ht="20.100000000000001" customHeight="1" x14ac:dyDescent="0.2">
      <c r="A70" s="47">
        <v>57</v>
      </c>
      <c r="B70" s="47">
        <v>35</v>
      </c>
      <c r="C70" s="47" t="s">
        <v>34</v>
      </c>
      <c r="D70" s="47">
        <v>18</v>
      </c>
      <c r="E70" s="33" t="s">
        <v>94</v>
      </c>
      <c r="F70" s="24">
        <v>22</v>
      </c>
      <c r="G70" s="24">
        <v>2</v>
      </c>
      <c r="H70" s="25">
        <f t="shared" ref="H70:H91" si="40">F70+G70</f>
        <v>24</v>
      </c>
      <c r="I70" s="26">
        <v>42</v>
      </c>
      <c r="J70" s="24">
        <v>10</v>
      </c>
      <c r="K70" s="25">
        <f t="shared" ref="K70:K91" si="41">J70-$K$2</f>
        <v>6</v>
      </c>
      <c r="L70" s="24">
        <f t="shared" ref="L70:L91" si="42">IF(K70&gt;=0,K70,IF(K70&lt;0,0))</f>
        <v>6</v>
      </c>
      <c r="M70" s="24">
        <f t="shared" ref="M70:M91" si="43">I70-L70</f>
        <v>36</v>
      </c>
      <c r="N70" s="27">
        <v>16500</v>
      </c>
      <c r="O70" s="28">
        <f t="shared" ref="O70:O101" si="44">F70*Q70</f>
        <v>15125</v>
      </c>
      <c r="P70" s="28">
        <f t="shared" ref="P70:P101" si="45">G70*Q70</f>
        <v>1375</v>
      </c>
      <c r="Q70" s="28">
        <f t="shared" ref="Q70:Q101" si="46">N70/$E$2</f>
        <v>687.5</v>
      </c>
      <c r="R70" s="29">
        <f t="shared" ref="R70:R101" si="47">H70*Q70</f>
        <v>16500</v>
      </c>
      <c r="S70" s="28">
        <f>505.5*F70</f>
        <v>11121</v>
      </c>
      <c r="T70" s="28">
        <f t="shared" ref="T70:T101" si="48">0*F70</f>
        <v>0</v>
      </c>
      <c r="U70" s="28">
        <f t="shared" ref="U70:U101" si="49">R70-V70</f>
        <v>5379</v>
      </c>
      <c r="V70" s="28">
        <f t="shared" ref="V70:V101" si="50">S70+T70</f>
        <v>11121</v>
      </c>
      <c r="W70" s="28">
        <f t="shared" ref="W70:W101" si="51">IF(V70*12%&gt;1800,1800,IF(V70*12%&lt;1800,V70*12%))</f>
        <v>1334.52</v>
      </c>
      <c r="X70" s="28">
        <f>IF(AND(N70 &gt;21000, R70&gt;0),0,IF(N70&lt;21000, O70*0.75%,""))</f>
        <v>113.4375</v>
      </c>
      <c r="Y70" s="28">
        <f t="shared" ref="Y70:Y101" si="52">IF(R70&lt;12000,0,IF(R70&gt;12000,200,))</f>
        <v>200</v>
      </c>
      <c r="Z70" s="30">
        <v>2000</v>
      </c>
      <c r="AA70" s="46"/>
      <c r="AB70" s="28">
        <f t="shared" ref="AB70:AB101" si="53">R70-W70-X70-Y70-Z70-AA70</f>
        <v>12852.0425</v>
      </c>
      <c r="AC70" s="28">
        <f t="shared" ref="AC70:AC101" si="54">N70/30/8*M70</f>
        <v>2475</v>
      </c>
      <c r="AD70" s="28">
        <f t="shared" ref="AD70:AD101" si="55">AC70+AE70</f>
        <v>2475</v>
      </c>
      <c r="AE70" s="47"/>
      <c r="AF70" s="47"/>
      <c r="AG70" s="31">
        <v>44476</v>
      </c>
    </row>
    <row r="71" spans="1:33" ht="20.100000000000001" customHeight="1" x14ac:dyDescent="0.2">
      <c r="A71" s="47">
        <f>A70+1</f>
        <v>58</v>
      </c>
      <c r="B71" s="47">
        <v>501</v>
      </c>
      <c r="C71" s="47" t="s">
        <v>34</v>
      </c>
      <c r="D71" s="47">
        <v>18</v>
      </c>
      <c r="E71" s="33" t="s">
        <v>95</v>
      </c>
      <c r="F71" s="24">
        <v>23</v>
      </c>
      <c r="G71" s="24">
        <v>1</v>
      </c>
      <c r="H71" s="25">
        <f t="shared" si="40"/>
        <v>24</v>
      </c>
      <c r="I71" s="26">
        <v>0</v>
      </c>
      <c r="J71" s="24">
        <v>2.5</v>
      </c>
      <c r="K71" s="25">
        <f t="shared" si="41"/>
        <v>-1.5</v>
      </c>
      <c r="L71" s="24">
        <f t="shared" si="42"/>
        <v>0</v>
      </c>
      <c r="M71" s="24">
        <f t="shared" si="43"/>
        <v>0</v>
      </c>
      <c r="N71" s="27">
        <f>17200+300</f>
        <v>17500</v>
      </c>
      <c r="O71" s="28">
        <f t="shared" si="44"/>
        <v>16770.833333333332</v>
      </c>
      <c r="P71" s="28">
        <f t="shared" si="45"/>
        <v>729.16666666666663</v>
      </c>
      <c r="Q71" s="28">
        <f t="shared" si="46"/>
        <v>729.16666666666663</v>
      </c>
      <c r="R71" s="29">
        <f t="shared" si="47"/>
        <v>17500</v>
      </c>
      <c r="S71" s="28">
        <f t="shared" ref="S71:S101" si="56">505.5*F71</f>
        <v>11626.5</v>
      </c>
      <c r="T71" s="28">
        <f t="shared" si="48"/>
        <v>0</v>
      </c>
      <c r="U71" s="28">
        <f t="shared" si="49"/>
        <v>5873.5</v>
      </c>
      <c r="V71" s="28">
        <f t="shared" si="50"/>
        <v>11626.5</v>
      </c>
      <c r="W71" s="28">
        <f t="shared" si="51"/>
        <v>1395.1799999999998</v>
      </c>
      <c r="X71" s="28">
        <f t="shared" ref="X71:X101" si="57">IF(AND(N71 &gt;21000, R71&gt;0),0,IF(N71&lt;21000, O71*0.75%,""))</f>
        <v>125.78124999999999</v>
      </c>
      <c r="Y71" s="28">
        <f t="shared" si="52"/>
        <v>200</v>
      </c>
      <c r="Z71" s="46"/>
      <c r="AA71" s="46"/>
      <c r="AB71" s="28">
        <f t="shared" si="53"/>
        <v>15779.03875</v>
      </c>
      <c r="AC71" s="28">
        <f t="shared" si="54"/>
        <v>0</v>
      </c>
      <c r="AD71" s="28">
        <f t="shared" si="55"/>
        <v>0</v>
      </c>
      <c r="AE71" s="47"/>
      <c r="AF71" s="47"/>
      <c r="AG71" s="31">
        <v>43322</v>
      </c>
    </row>
    <row r="72" spans="1:33" ht="20.100000000000001" customHeight="1" x14ac:dyDescent="0.2">
      <c r="A72" s="47">
        <f t="shared" ref="A72:A91" si="58">A71+1</f>
        <v>59</v>
      </c>
      <c r="B72" s="47">
        <v>537</v>
      </c>
      <c r="C72" s="47" t="s">
        <v>34</v>
      </c>
      <c r="D72" s="47">
        <v>18</v>
      </c>
      <c r="E72" s="33" t="s">
        <v>96</v>
      </c>
      <c r="F72" s="24">
        <v>21.5</v>
      </c>
      <c r="G72" s="24">
        <v>2.5</v>
      </c>
      <c r="H72" s="25">
        <f t="shared" si="40"/>
        <v>24</v>
      </c>
      <c r="I72" s="26">
        <v>8</v>
      </c>
      <c r="J72" s="24">
        <v>9</v>
      </c>
      <c r="K72" s="25">
        <f t="shared" si="41"/>
        <v>5</v>
      </c>
      <c r="L72" s="24">
        <f t="shared" si="42"/>
        <v>5</v>
      </c>
      <c r="M72" s="24">
        <f t="shared" si="43"/>
        <v>3</v>
      </c>
      <c r="N72" s="27">
        <v>20600</v>
      </c>
      <c r="O72" s="28">
        <f t="shared" si="44"/>
        <v>18454.166666666668</v>
      </c>
      <c r="P72" s="28">
        <f t="shared" si="45"/>
        <v>2145.8333333333335</v>
      </c>
      <c r="Q72" s="28">
        <f t="shared" si="46"/>
        <v>858.33333333333337</v>
      </c>
      <c r="R72" s="29">
        <f t="shared" si="47"/>
        <v>20600</v>
      </c>
      <c r="S72" s="28">
        <f t="shared" si="56"/>
        <v>10868.25</v>
      </c>
      <c r="T72" s="28">
        <f t="shared" si="48"/>
        <v>0</v>
      </c>
      <c r="U72" s="28">
        <f t="shared" si="49"/>
        <v>9731.75</v>
      </c>
      <c r="V72" s="28">
        <f t="shared" si="50"/>
        <v>10868.25</v>
      </c>
      <c r="W72" s="28">
        <f t="shared" si="51"/>
        <v>1304.19</v>
      </c>
      <c r="X72" s="28">
        <f t="shared" si="57"/>
        <v>138.40625</v>
      </c>
      <c r="Y72" s="28">
        <f t="shared" si="52"/>
        <v>200</v>
      </c>
      <c r="Z72" s="46"/>
      <c r="AA72" s="46"/>
      <c r="AB72" s="28">
        <f t="shared" si="53"/>
        <v>18957.403750000001</v>
      </c>
      <c r="AC72" s="28">
        <f t="shared" si="54"/>
        <v>257.5</v>
      </c>
      <c r="AD72" s="28">
        <f t="shared" si="55"/>
        <v>257.5</v>
      </c>
      <c r="AE72" s="47"/>
      <c r="AF72" s="46"/>
      <c r="AG72" s="31">
        <v>44882</v>
      </c>
    </row>
    <row r="73" spans="1:33" ht="20.100000000000001" customHeight="1" x14ac:dyDescent="0.2">
      <c r="A73" s="47">
        <f t="shared" si="58"/>
        <v>60</v>
      </c>
      <c r="B73" s="47">
        <v>554</v>
      </c>
      <c r="C73" s="47" t="s">
        <v>34</v>
      </c>
      <c r="D73" s="47">
        <v>18</v>
      </c>
      <c r="E73" s="33" t="s">
        <v>97</v>
      </c>
      <c r="F73" s="24">
        <v>23.5</v>
      </c>
      <c r="G73" s="24">
        <v>0.5</v>
      </c>
      <c r="H73" s="25">
        <f t="shared" si="40"/>
        <v>24</v>
      </c>
      <c r="I73" s="26">
        <v>14.5</v>
      </c>
      <c r="J73" s="24">
        <v>5.5</v>
      </c>
      <c r="K73" s="25">
        <f t="shared" si="41"/>
        <v>1.5</v>
      </c>
      <c r="L73" s="24">
        <f t="shared" si="42"/>
        <v>1.5</v>
      </c>
      <c r="M73" s="24">
        <f t="shared" si="43"/>
        <v>13</v>
      </c>
      <c r="N73" s="27">
        <v>20000</v>
      </c>
      <c r="O73" s="28">
        <f t="shared" si="44"/>
        <v>19583.333333333336</v>
      </c>
      <c r="P73" s="28">
        <f t="shared" si="45"/>
        <v>416.66666666666669</v>
      </c>
      <c r="Q73" s="28">
        <f t="shared" si="46"/>
        <v>833.33333333333337</v>
      </c>
      <c r="R73" s="29">
        <f t="shared" si="47"/>
        <v>20000</v>
      </c>
      <c r="S73" s="28">
        <f t="shared" si="56"/>
        <v>11879.25</v>
      </c>
      <c r="T73" s="28">
        <f t="shared" si="48"/>
        <v>0</v>
      </c>
      <c r="U73" s="28">
        <f t="shared" si="49"/>
        <v>8120.75</v>
      </c>
      <c r="V73" s="28">
        <f t="shared" si="50"/>
        <v>11879.25</v>
      </c>
      <c r="W73" s="28">
        <f t="shared" si="51"/>
        <v>1425.51</v>
      </c>
      <c r="X73" s="28">
        <f t="shared" si="57"/>
        <v>146.875</v>
      </c>
      <c r="Y73" s="28">
        <f t="shared" si="52"/>
        <v>200</v>
      </c>
      <c r="Z73" s="46"/>
      <c r="AA73" s="46"/>
      <c r="AB73" s="28">
        <f t="shared" si="53"/>
        <v>18227.615000000002</v>
      </c>
      <c r="AC73" s="28">
        <f t="shared" si="54"/>
        <v>1083.3333333333333</v>
      </c>
      <c r="AD73" s="28">
        <f t="shared" si="55"/>
        <v>1083.3333333333333</v>
      </c>
      <c r="AE73" s="47"/>
      <c r="AF73" s="46"/>
      <c r="AG73" s="31">
        <v>44900</v>
      </c>
    </row>
    <row r="74" spans="1:33" ht="20.100000000000001" customHeight="1" x14ac:dyDescent="0.2">
      <c r="A74" s="47">
        <f t="shared" si="58"/>
        <v>61</v>
      </c>
      <c r="B74" s="47">
        <v>591</v>
      </c>
      <c r="C74" s="47" t="s">
        <v>34</v>
      </c>
      <c r="D74" s="47">
        <v>19</v>
      </c>
      <c r="E74" s="33" t="s">
        <v>98</v>
      </c>
      <c r="F74" s="24">
        <v>23</v>
      </c>
      <c r="G74" s="24">
        <v>1</v>
      </c>
      <c r="H74" s="25">
        <f t="shared" si="40"/>
        <v>24</v>
      </c>
      <c r="I74" s="26">
        <v>0</v>
      </c>
      <c r="J74" s="24">
        <v>3</v>
      </c>
      <c r="K74" s="25">
        <f t="shared" si="41"/>
        <v>-1</v>
      </c>
      <c r="L74" s="24">
        <f t="shared" si="42"/>
        <v>0</v>
      </c>
      <c r="M74" s="24">
        <f t="shared" si="43"/>
        <v>0</v>
      </c>
      <c r="N74" s="27">
        <v>19000</v>
      </c>
      <c r="O74" s="28">
        <f t="shared" si="44"/>
        <v>18208.333333333332</v>
      </c>
      <c r="P74" s="28">
        <f t="shared" si="45"/>
        <v>791.66666666666663</v>
      </c>
      <c r="Q74" s="28">
        <f t="shared" si="46"/>
        <v>791.66666666666663</v>
      </c>
      <c r="R74" s="29">
        <f t="shared" si="47"/>
        <v>19000</v>
      </c>
      <c r="S74" s="28">
        <f t="shared" si="56"/>
        <v>11626.5</v>
      </c>
      <c r="T74" s="28">
        <f t="shared" si="48"/>
        <v>0</v>
      </c>
      <c r="U74" s="28">
        <f t="shared" si="49"/>
        <v>7373.5</v>
      </c>
      <c r="V74" s="28">
        <f t="shared" si="50"/>
        <v>11626.5</v>
      </c>
      <c r="W74" s="28">
        <f t="shared" si="51"/>
        <v>1395.1799999999998</v>
      </c>
      <c r="X74" s="28">
        <f t="shared" si="57"/>
        <v>136.5625</v>
      </c>
      <c r="Y74" s="28">
        <f t="shared" si="52"/>
        <v>200</v>
      </c>
      <c r="Z74" s="46"/>
      <c r="AA74" s="46"/>
      <c r="AB74" s="28">
        <f t="shared" si="53"/>
        <v>17268.2575</v>
      </c>
      <c r="AC74" s="28">
        <f t="shared" si="54"/>
        <v>0</v>
      </c>
      <c r="AD74" s="28">
        <f t="shared" si="55"/>
        <v>0</v>
      </c>
      <c r="AE74" s="47"/>
      <c r="AF74" s="47"/>
      <c r="AG74" s="31">
        <v>45018</v>
      </c>
    </row>
    <row r="75" spans="1:33" ht="20.100000000000001" customHeight="1" x14ac:dyDescent="0.2">
      <c r="A75" s="47">
        <f t="shared" si="58"/>
        <v>62</v>
      </c>
      <c r="B75" s="47">
        <v>620</v>
      </c>
      <c r="C75" s="47" t="s">
        <v>34</v>
      </c>
      <c r="D75" s="47">
        <v>19</v>
      </c>
      <c r="E75" s="33" t="s">
        <v>99</v>
      </c>
      <c r="F75" s="24">
        <v>23.5</v>
      </c>
      <c r="G75" s="24">
        <v>0.5</v>
      </c>
      <c r="H75" s="25">
        <f t="shared" si="40"/>
        <v>24</v>
      </c>
      <c r="I75" s="26">
        <v>4</v>
      </c>
      <c r="J75" s="24">
        <v>5</v>
      </c>
      <c r="K75" s="25">
        <f t="shared" si="41"/>
        <v>1</v>
      </c>
      <c r="L75" s="24">
        <f t="shared" si="42"/>
        <v>1</v>
      </c>
      <c r="M75" s="24">
        <f t="shared" si="43"/>
        <v>3</v>
      </c>
      <c r="N75" s="27">
        <v>18000</v>
      </c>
      <c r="O75" s="28">
        <f t="shared" si="44"/>
        <v>17625</v>
      </c>
      <c r="P75" s="28">
        <f t="shared" si="45"/>
        <v>375</v>
      </c>
      <c r="Q75" s="28">
        <f t="shared" si="46"/>
        <v>750</v>
      </c>
      <c r="R75" s="29">
        <f t="shared" si="47"/>
        <v>18000</v>
      </c>
      <c r="S75" s="28">
        <f t="shared" si="56"/>
        <v>11879.25</v>
      </c>
      <c r="T75" s="28">
        <f t="shared" si="48"/>
        <v>0</v>
      </c>
      <c r="U75" s="28">
        <f t="shared" si="49"/>
        <v>6120.75</v>
      </c>
      <c r="V75" s="28">
        <f t="shared" si="50"/>
        <v>11879.25</v>
      </c>
      <c r="W75" s="28">
        <f t="shared" si="51"/>
        <v>1425.51</v>
      </c>
      <c r="X75" s="28">
        <f t="shared" si="57"/>
        <v>132.1875</v>
      </c>
      <c r="Y75" s="28">
        <f t="shared" si="52"/>
        <v>200</v>
      </c>
      <c r="Z75" s="46"/>
      <c r="AA75" s="46"/>
      <c r="AB75" s="28">
        <f t="shared" si="53"/>
        <v>16242.302500000002</v>
      </c>
      <c r="AC75" s="28">
        <f t="shared" si="54"/>
        <v>225</v>
      </c>
      <c r="AD75" s="28">
        <f t="shared" si="55"/>
        <v>225</v>
      </c>
      <c r="AE75" s="47"/>
      <c r="AF75" s="47"/>
      <c r="AG75" s="31">
        <v>45085</v>
      </c>
    </row>
    <row r="76" spans="1:33" ht="20.100000000000001" customHeight="1" x14ac:dyDescent="0.2">
      <c r="A76" s="47">
        <f t="shared" si="58"/>
        <v>63</v>
      </c>
      <c r="B76" s="47">
        <v>627</v>
      </c>
      <c r="C76" s="47" t="s">
        <v>34</v>
      </c>
      <c r="D76" s="47">
        <v>19</v>
      </c>
      <c r="E76" s="33" t="s">
        <v>100</v>
      </c>
      <c r="F76" s="24">
        <v>23</v>
      </c>
      <c r="G76" s="24">
        <v>1</v>
      </c>
      <c r="H76" s="25">
        <f t="shared" si="40"/>
        <v>24</v>
      </c>
      <c r="I76" s="26">
        <v>12.5</v>
      </c>
      <c r="J76" s="24">
        <v>5.5</v>
      </c>
      <c r="K76" s="25">
        <f t="shared" si="41"/>
        <v>1.5</v>
      </c>
      <c r="L76" s="24">
        <f t="shared" si="42"/>
        <v>1.5</v>
      </c>
      <c r="M76" s="24">
        <f t="shared" si="43"/>
        <v>11</v>
      </c>
      <c r="N76" s="27">
        <v>18700</v>
      </c>
      <c r="O76" s="28">
        <f t="shared" si="44"/>
        <v>17920.833333333332</v>
      </c>
      <c r="P76" s="28">
        <f t="shared" si="45"/>
        <v>779.16666666666663</v>
      </c>
      <c r="Q76" s="28">
        <f t="shared" si="46"/>
        <v>779.16666666666663</v>
      </c>
      <c r="R76" s="29">
        <f t="shared" si="47"/>
        <v>18700</v>
      </c>
      <c r="S76" s="28">
        <f t="shared" si="56"/>
        <v>11626.5</v>
      </c>
      <c r="T76" s="28">
        <f t="shared" si="48"/>
        <v>0</v>
      </c>
      <c r="U76" s="28">
        <f t="shared" si="49"/>
        <v>7073.5</v>
      </c>
      <c r="V76" s="28">
        <f t="shared" si="50"/>
        <v>11626.5</v>
      </c>
      <c r="W76" s="28">
        <f t="shared" si="51"/>
        <v>1395.1799999999998</v>
      </c>
      <c r="X76" s="28">
        <f t="shared" si="57"/>
        <v>134.40625</v>
      </c>
      <c r="Y76" s="28">
        <f t="shared" si="52"/>
        <v>200</v>
      </c>
      <c r="Z76" s="30">
        <v>3000</v>
      </c>
      <c r="AA76" s="46"/>
      <c r="AB76" s="28">
        <f t="shared" si="53"/>
        <v>13970.41375</v>
      </c>
      <c r="AC76" s="28">
        <f t="shared" si="54"/>
        <v>857.08333333333337</v>
      </c>
      <c r="AD76" s="28">
        <f t="shared" si="55"/>
        <v>857.08333333333337</v>
      </c>
      <c r="AE76" s="47"/>
      <c r="AF76" s="46"/>
      <c r="AG76" s="31">
        <v>45109</v>
      </c>
    </row>
    <row r="77" spans="1:33" ht="20.100000000000001" customHeight="1" x14ac:dyDescent="0.2">
      <c r="A77" s="47">
        <f t="shared" si="58"/>
        <v>64</v>
      </c>
      <c r="B77" s="47">
        <v>628</v>
      </c>
      <c r="C77" s="47" t="s">
        <v>34</v>
      </c>
      <c r="D77" s="47">
        <v>19</v>
      </c>
      <c r="E77" s="40" t="s">
        <v>101</v>
      </c>
      <c r="F77" s="24">
        <v>24</v>
      </c>
      <c r="G77" s="24">
        <v>0</v>
      </c>
      <c r="H77" s="25">
        <f t="shared" si="40"/>
        <v>24</v>
      </c>
      <c r="I77" s="26">
        <v>23</v>
      </c>
      <c r="J77" s="24">
        <v>3.5</v>
      </c>
      <c r="K77" s="25">
        <f t="shared" si="41"/>
        <v>-0.5</v>
      </c>
      <c r="L77" s="24">
        <f t="shared" si="42"/>
        <v>0</v>
      </c>
      <c r="M77" s="24">
        <f t="shared" si="43"/>
        <v>23</v>
      </c>
      <c r="N77" s="27">
        <v>18000</v>
      </c>
      <c r="O77" s="28">
        <f t="shared" si="44"/>
        <v>18000</v>
      </c>
      <c r="P77" s="28">
        <f t="shared" si="45"/>
        <v>0</v>
      </c>
      <c r="Q77" s="28">
        <f t="shared" si="46"/>
        <v>750</v>
      </c>
      <c r="R77" s="29">
        <f t="shared" si="47"/>
        <v>18000</v>
      </c>
      <c r="S77" s="28">
        <f t="shared" si="56"/>
        <v>12132</v>
      </c>
      <c r="T77" s="28">
        <f t="shared" si="48"/>
        <v>0</v>
      </c>
      <c r="U77" s="28">
        <f t="shared" si="49"/>
        <v>5868</v>
      </c>
      <c r="V77" s="28">
        <f t="shared" si="50"/>
        <v>12132</v>
      </c>
      <c r="W77" s="28">
        <f t="shared" si="51"/>
        <v>1455.84</v>
      </c>
      <c r="X77" s="28">
        <f t="shared" si="57"/>
        <v>135</v>
      </c>
      <c r="Y77" s="28">
        <f t="shared" si="52"/>
        <v>200</v>
      </c>
      <c r="Z77" s="46"/>
      <c r="AA77" s="46"/>
      <c r="AB77" s="28">
        <f t="shared" si="53"/>
        <v>16209.16</v>
      </c>
      <c r="AC77" s="28">
        <f t="shared" si="54"/>
        <v>1725</v>
      </c>
      <c r="AD77" s="28">
        <f t="shared" si="55"/>
        <v>1725</v>
      </c>
      <c r="AE77" s="47"/>
      <c r="AF77" s="46"/>
      <c r="AG77" s="31">
        <v>45109</v>
      </c>
    </row>
    <row r="78" spans="1:33" ht="20.100000000000001" customHeight="1" x14ac:dyDescent="0.2">
      <c r="A78" s="47">
        <f t="shared" si="58"/>
        <v>65</v>
      </c>
      <c r="B78" s="47">
        <v>687</v>
      </c>
      <c r="C78" s="47" t="s">
        <v>34</v>
      </c>
      <c r="D78" s="47">
        <v>19</v>
      </c>
      <c r="E78" s="33" t="s">
        <v>102</v>
      </c>
      <c r="F78" s="24">
        <v>24</v>
      </c>
      <c r="G78" s="24">
        <v>0</v>
      </c>
      <c r="H78" s="25">
        <f t="shared" si="40"/>
        <v>24</v>
      </c>
      <c r="I78" s="26">
        <v>0</v>
      </c>
      <c r="J78" s="24">
        <v>3</v>
      </c>
      <c r="K78" s="25">
        <f t="shared" si="41"/>
        <v>-1</v>
      </c>
      <c r="L78" s="24">
        <f t="shared" si="42"/>
        <v>0</v>
      </c>
      <c r="M78" s="24">
        <f t="shared" si="43"/>
        <v>0</v>
      </c>
      <c r="N78" s="27">
        <v>13500</v>
      </c>
      <c r="O78" s="28">
        <f t="shared" si="44"/>
        <v>13500</v>
      </c>
      <c r="P78" s="28">
        <f t="shared" si="45"/>
        <v>0</v>
      </c>
      <c r="Q78" s="28">
        <f t="shared" si="46"/>
        <v>562.5</v>
      </c>
      <c r="R78" s="29">
        <f t="shared" si="47"/>
        <v>13500</v>
      </c>
      <c r="S78" s="28">
        <f t="shared" si="56"/>
        <v>12132</v>
      </c>
      <c r="T78" s="28">
        <f t="shared" si="48"/>
        <v>0</v>
      </c>
      <c r="U78" s="28">
        <f t="shared" si="49"/>
        <v>1368</v>
      </c>
      <c r="V78" s="28">
        <f t="shared" si="50"/>
        <v>12132</v>
      </c>
      <c r="W78" s="28">
        <f t="shared" si="51"/>
        <v>1455.84</v>
      </c>
      <c r="X78" s="28">
        <f t="shared" si="57"/>
        <v>101.25</v>
      </c>
      <c r="Y78" s="28">
        <f t="shared" si="52"/>
        <v>200</v>
      </c>
      <c r="Z78" s="46"/>
      <c r="AA78" s="46"/>
      <c r="AB78" s="28">
        <f t="shared" si="53"/>
        <v>11742.91</v>
      </c>
      <c r="AC78" s="28">
        <f t="shared" si="54"/>
        <v>0</v>
      </c>
      <c r="AD78" s="28">
        <f t="shared" si="55"/>
        <v>0</v>
      </c>
      <c r="AE78" s="47"/>
      <c r="AF78" s="12"/>
      <c r="AG78" s="31">
        <v>45627</v>
      </c>
    </row>
    <row r="79" spans="1:33" ht="20.100000000000001" customHeight="1" x14ac:dyDescent="0.2">
      <c r="A79" s="47">
        <f t="shared" si="58"/>
        <v>66</v>
      </c>
      <c r="B79" s="47">
        <v>824</v>
      </c>
      <c r="C79" s="47" t="s">
        <v>34</v>
      </c>
      <c r="D79" s="47">
        <v>19</v>
      </c>
      <c r="E79" s="33" t="s">
        <v>103</v>
      </c>
      <c r="F79" s="24">
        <v>20.5</v>
      </c>
      <c r="G79" s="24">
        <v>2.5</v>
      </c>
      <c r="H79" s="25">
        <f t="shared" si="40"/>
        <v>23</v>
      </c>
      <c r="I79" s="26">
        <v>9</v>
      </c>
      <c r="J79" s="24">
        <v>12</v>
      </c>
      <c r="K79" s="25">
        <f t="shared" si="41"/>
        <v>8</v>
      </c>
      <c r="L79" s="24">
        <f t="shared" si="42"/>
        <v>8</v>
      </c>
      <c r="M79" s="24">
        <f t="shared" si="43"/>
        <v>1</v>
      </c>
      <c r="N79" s="27">
        <v>15700</v>
      </c>
      <c r="O79" s="28">
        <f t="shared" si="44"/>
        <v>13410.416666666666</v>
      </c>
      <c r="P79" s="28">
        <f t="shared" si="45"/>
        <v>1635.4166666666665</v>
      </c>
      <c r="Q79" s="28">
        <f t="shared" si="46"/>
        <v>654.16666666666663</v>
      </c>
      <c r="R79" s="29">
        <f t="shared" si="47"/>
        <v>15045.833333333332</v>
      </c>
      <c r="S79" s="28">
        <f t="shared" si="56"/>
        <v>10362.75</v>
      </c>
      <c r="T79" s="28">
        <f t="shared" si="48"/>
        <v>0</v>
      </c>
      <c r="U79" s="28">
        <f t="shared" si="49"/>
        <v>4683.0833333333321</v>
      </c>
      <c r="V79" s="28">
        <f t="shared" si="50"/>
        <v>10362.75</v>
      </c>
      <c r="W79" s="28">
        <f t="shared" si="51"/>
        <v>1243.53</v>
      </c>
      <c r="X79" s="28">
        <f t="shared" si="57"/>
        <v>100.57812499999999</v>
      </c>
      <c r="Y79" s="28">
        <f t="shared" si="52"/>
        <v>200</v>
      </c>
      <c r="Z79" s="46"/>
      <c r="AA79" s="46"/>
      <c r="AB79" s="28">
        <f t="shared" si="53"/>
        <v>13501.725208333331</v>
      </c>
      <c r="AC79" s="28">
        <f t="shared" si="54"/>
        <v>65.416666666666671</v>
      </c>
      <c r="AD79" s="28">
        <f t="shared" si="55"/>
        <v>65.416666666666671</v>
      </c>
      <c r="AE79" s="47"/>
      <c r="AF79" s="47"/>
      <c r="AG79" s="31">
        <v>45324</v>
      </c>
    </row>
    <row r="80" spans="1:33" ht="20.100000000000001" customHeight="1" x14ac:dyDescent="0.2">
      <c r="A80" s="47">
        <f t="shared" si="58"/>
        <v>67</v>
      </c>
      <c r="B80" s="47">
        <v>840</v>
      </c>
      <c r="C80" s="47" t="s">
        <v>34</v>
      </c>
      <c r="D80" s="47">
        <v>19</v>
      </c>
      <c r="E80" s="33" t="s">
        <v>104</v>
      </c>
      <c r="F80" s="24">
        <v>21.5</v>
      </c>
      <c r="G80" s="24">
        <v>2.5</v>
      </c>
      <c r="H80" s="25">
        <f t="shared" si="40"/>
        <v>24</v>
      </c>
      <c r="I80" s="26">
        <v>0</v>
      </c>
      <c r="J80" s="24">
        <v>3</v>
      </c>
      <c r="K80" s="25">
        <f t="shared" si="41"/>
        <v>-1</v>
      </c>
      <c r="L80" s="24">
        <f t="shared" si="42"/>
        <v>0</v>
      </c>
      <c r="M80" s="24">
        <f t="shared" si="43"/>
        <v>0</v>
      </c>
      <c r="N80" s="27">
        <v>13500</v>
      </c>
      <c r="O80" s="28">
        <f t="shared" si="44"/>
        <v>12093.75</v>
      </c>
      <c r="P80" s="28">
        <f t="shared" si="45"/>
        <v>1406.25</v>
      </c>
      <c r="Q80" s="28">
        <f t="shared" si="46"/>
        <v>562.5</v>
      </c>
      <c r="R80" s="29">
        <f t="shared" si="47"/>
        <v>13500</v>
      </c>
      <c r="S80" s="28">
        <f t="shared" si="56"/>
        <v>10868.25</v>
      </c>
      <c r="T80" s="28">
        <f t="shared" si="48"/>
        <v>0</v>
      </c>
      <c r="U80" s="28">
        <f t="shared" si="49"/>
        <v>2631.75</v>
      </c>
      <c r="V80" s="28">
        <f t="shared" si="50"/>
        <v>10868.25</v>
      </c>
      <c r="W80" s="28">
        <f t="shared" si="51"/>
        <v>1304.19</v>
      </c>
      <c r="X80" s="28">
        <f t="shared" si="57"/>
        <v>90.703125</v>
      </c>
      <c r="Y80" s="28">
        <f t="shared" si="52"/>
        <v>200</v>
      </c>
      <c r="Z80" s="46"/>
      <c r="AA80" s="46"/>
      <c r="AB80" s="28">
        <f t="shared" si="53"/>
        <v>11905.106874999999</v>
      </c>
      <c r="AC80" s="28">
        <f t="shared" si="54"/>
        <v>0</v>
      </c>
      <c r="AD80" s="28">
        <f t="shared" si="55"/>
        <v>0</v>
      </c>
      <c r="AE80" s="47"/>
      <c r="AF80" s="12"/>
      <c r="AG80" s="31">
        <v>45337</v>
      </c>
    </row>
    <row r="81" spans="1:33" ht="20.100000000000001" customHeight="1" x14ac:dyDescent="0.2">
      <c r="A81" s="47">
        <f t="shared" si="58"/>
        <v>68</v>
      </c>
      <c r="B81" s="47">
        <v>848</v>
      </c>
      <c r="C81" s="47" t="s">
        <v>34</v>
      </c>
      <c r="D81" s="47">
        <v>19</v>
      </c>
      <c r="E81" s="33" t="s">
        <v>105</v>
      </c>
      <c r="F81" s="24">
        <v>24</v>
      </c>
      <c r="G81" s="24">
        <v>0</v>
      </c>
      <c r="H81" s="25">
        <f t="shared" si="40"/>
        <v>24</v>
      </c>
      <c r="I81" s="26">
        <v>0</v>
      </c>
      <c r="J81" s="24">
        <v>3</v>
      </c>
      <c r="K81" s="25">
        <f t="shared" si="41"/>
        <v>-1</v>
      </c>
      <c r="L81" s="24">
        <f t="shared" si="42"/>
        <v>0</v>
      </c>
      <c r="M81" s="24">
        <f t="shared" si="43"/>
        <v>0</v>
      </c>
      <c r="N81" s="27">
        <v>13500</v>
      </c>
      <c r="O81" s="28">
        <f t="shared" si="44"/>
        <v>13500</v>
      </c>
      <c r="P81" s="28">
        <f t="shared" si="45"/>
        <v>0</v>
      </c>
      <c r="Q81" s="28">
        <f t="shared" si="46"/>
        <v>562.5</v>
      </c>
      <c r="R81" s="29">
        <f t="shared" si="47"/>
        <v>13500</v>
      </c>
      <c r="S81" s="28">
        <f t="shared" si="56"/>
        <v>12132</v>
      </c>
      <c r="T81" s="28">
        <f t="shared" si="48"/>
        <v>0</v>
      </c>
      <c r="U81" s="28">
        <f t="shared" si="49"/>
        <v>1368</v>
      </c>
      <c r="V81" s="28">
        <f t="shared" si="50"/>
        <v>12132</v>
      </c>
      <c r="W81" s="28">
        <f t="shared" si="51"/>
        <v>1455.84</v>
      </c>
      <c r="X81" s="28">
        <f t="shared" si="57"/>
        <v>101.25</v>
      </c>
      <c r="Y81" s="28">
        <f t="shared" si="52"/>
        <v>200</v>
      </c>
      <c r="Z81" s="46"/>
      <c r="AA81" s="46"/>
      <c r="AB81" s="28">
        <f t="shared" si="53"/>
        <v>11742.91</v>
      </c>
      <c r="AC81" s="28">
        <f t="shared" si="54"/>
        <v>0</v>
      </c>
      <c r="AD81" s="28">
        <f t="shared" si="55"/>
        <v>0</v>
      </c>
      <c r="AE81" s="47"/>
      <c r="AF81" s="32">
        <v>1000</v>
      </c>
      <c r="AG81" s="31">
        <v>45383</v>
      </c>
    </row>
    <row r="82" spans="1:33" ht="20.100000000000001" customHeight="1" x14ac:dyDescent="0.2">
      <c r="A82" s="47">
        <f t="shared" si="58"/>
        <v>69</v>
      </c>
      <c r="B82" s="47">
        <v>899</v>
      </c>
      <c r="C82" s="47" t="s">
        <v>34</v>
      </c>
      <c r="D82" s="47">
        <v>21</v>
      </c>
      <c r="E82" s="33" t="s">
        <v>106</v>
      </c>
      <c r="F82" s="24">
        <v>20</v>
      </c>
      <c r="G82" s="24">
        <v>3.5</v>
      </c>
      <c r="H82" s="25">
        <f t="shared" si="40"/>
        <v>23.5</v>
      </c>
      <c r="I82" s="26">
        <v>11.5</v>
      </c>
      <c r="J82" s="24">
        <v>8.5</v>
      </c>
      <c r="K82" s="25">
        <f t="shared" si="41"/>
        <v>4.5</v>
      </c>
      <c r="L82" s="24">
        <f t="shared" si="42"/>
        <v>4.5</v>
      </c>
      <c r="M82" s="24">
        <f t="shared" si="43"/>
        <v>7</v>
      </c>
      <c r="N82" s="27">
        <v>19500</v>
      </c>
      <c r="O82" s="28">
        <f t="shared" si="44"/>
        <v>16250</v>
      </c>
      <c r="P82" s="28">
        <f t="shared" si="45"/>
        <v>2843.75</v>
      </c>
      <c r="Q82" s="28">
        <f t="shared" si="46"/>
        <v>812.5</v>
      </c>
      <c r="R82" s="29">
        <f t="shared" si="47"/>
        <v>19093.75</v>
      </c>
      <c r="S82" s="28">
        <f t="shared" si="56"/>
        <v>10110</v>
      </c>
      <c r="T82" s="28">
        <f t="shared" si="48"/>
        <v>0</v>
      </c>
      <c r="U82" s="28">
        <f t="shared" si="49"/>
        <v>8983.75</v>
      </c>
      <c r="V82" s="28">
        <f t="shared" si="50"/>
        <v>10110</v>
      </c>
      <c r="W82" s="28">
        <f t="shared" si="51"/>
        <v>1213.2</v>
      </c>
      <c r="X82" s="28">
        <f t="shared" si="57"/>
        <v>121.875</v>
      </c>
      <c r="Y82" s="28">
        <f t="shared" si="52"/>
        <v>200</v>
      </c>
      <c r="Z82" s="46"/>
      <c r="AA82" s="46"/>
      <c r="AB82" s="28">
        <f t="shared" si="53"/>
        <v>17558.674999999999</v>
      </c>
      <c r="AC82" s="28">
        <f t="shared" si="54"/>
        <v>568.75</v>
      </c>
      <c r="AD82" s="28">
        <f t="shared" si="55"/>
        <v>568.75</v>
      </c>
      <c r="AE82" s="47"/>
      <c r="AF82" s="47"/>
      <c r="AG82" s="31">
        <v>45413</v>
      </c>
    </row>
    <row r="83" spans="1:33" ht="20.100000000000001" customHeight="1" x14ac:dyDescent="0.2">
      <c r="A83" s="47">
        <f t="shared" si="58"/>
        <v>70</v>
      </c>
      <c r="B83" s="47">
        <v>900</v>
      </c>
      <c r="C83" s="47" t="s">
        <v>34</v>
      </c>
      <c r="D83" s="47">
        <v>21</v>
      </c>
      <c r="E83" s="33" t="s">
        <v>107</v>
      </c>
      <c r="F83" s="24">
        <v>22</v>
      </c>
      <c r="G83" s="24">
        <v>2</v>
      </c>
      <c r="H83" s="25">
        <f t="shared" si="40"/>
        <v>24</v>
      </c>
      <c r="I83" s="26">
        <v>58.5</v>
      </c>
      <c r="J83" s="24">
        <v>8.5</v>
      </c>
      <c r="K83" s="25">
        <f t="shared" si="41"/>
        <v>4.5</v>
      </c>
      <c r="L83" s="24">
        <f t="shared" si="42"/>
        <v>4.5</v>
      </c>
      <c r="M83" s="24">
        <f t="shared" si="43"/>
        <v>54</v>
      </c>
      <c r="N83" s="27">
        <v>20000</v>
      </c>
      <c r="O83" s="28">
        <f t="shared" si="44"/>
        <v>18333.333333333336</v>
      </c>
      <c r="P83" s="28">
        <f t="shared" si="45"/>
        <v>1666.6666666666667</v>
      </c>
      <c r="Q83" s="28">
        <f t="shared" si="46"/>
        <v>833.33333333333337</v>
      </c>
      <c r="R83" s="29">
        <f t="shared" si="47"/>
        <v>20000</v>
      </c>
      <c r="S83" s="28">
        <f t="shared" si="56"/>
        <v>11121</v>
      </c>
      <c r="T83" s="28">
        <f t="shared" si="48"/>
        <v>0</v>
      </c>
      <c r="U83" s="28">
        <f t="shared" si="49"/>
        <v>8879</v>
      </c>
      <c r="V83" s="28">
        <f t="shared" si="50"/>
        <v>11121</v>
      </c>
      <c r="W83" s="28">
        <f t="shared" si="51"/>
        <v>1334.52</v>
      </c>
      <c r="X83" s="28">
        <f t="shared" si="57"/>
        <v>137.5</v>
      </c>
      <c r="Y83" s="28">
        <f t="shared" si="52"/>
        <v>200</v>
      </c>
      <c r="Z83" s="46"/>
      <c r="AA83" s="46"/>
      <c r="AB83" s="28">
        <f t="shared" si="53"/>
        <v>18327.98</v>
      </c>
      <c r="AC83" s="28">
        <f t="shared" si="54"/>
        <v>4500</v>
      </c>
      <c r="AD83" s="28">
        <f t="shared" si="55"/>
        <v>4500</v>
      </c>
      <c r="AE83" s="47"/>
      <c r="AF83" s="47"/>
      <c r="AG83" s="31">
        <v>45413</v>
      </c>
    </row>
    <row r="84" spans="1:33" ht="20.100000000000001" customHeight="1" x14ac:dyDescent="0.2">
      <c r="A84" s="47">
        <f t="shared" si="58"/>
        <v>71</v>
      </c>
      <c r="B84" s="47">
        <v>939</v>
      </c>
      <c r="C84" s="47" t="s">
        <v>34</v>
      </c>
      <c r="D84" s="47">
        <v>21</v>
      </c>
      <c r="E84" s="33" t="s">
        <v>108</v>
      </c>
      <c r="F84" s="24">
        <v>21.5</v>
      </c>
      <c r="G84" s="24">
        <v>1.5</v>
      </c>
      <c r="H84" s="25">
        <f t="shared" si="40"/>
        <v>23</v>
      </c>
      <c r="I84" s="26">
        <v>4</v>
      </c>
      <c r="J84" s="24">
        <v>6.5</v>
      </c>
      <c r="K84" s="25">
        <f t="shared" si="41"/>
        <v>2.5</v>
      </c>
      <c r="L84" s="24">
        <f t="shared" si="42"/>
        <v>2.5</v>
      </c>
      <c r="M84" s="24">
        <f t="shared" si="43"/>
        <v>1.5</v>
      </c>
      <c r="N84" s="27">
        <v>14500</v>
      </c>
      <c r="O84" s="28">
        <f t="shared" si="44"/>
        <v>12989.583333333332</v>
      </c>
      <c r="P84" s="28">
        <f t="shared" si="45"/>
        <v>906.25</v>
      </c>
      <c r="Q84" s="28">
        <f t="shared" si="46"/>
        <v>604.16666666666663</v>
      </c>
      <c r="R84" s="29">
        <f t="shared" si="47"/>
        <v>13895.833333333332</v>
      </c>
      <c r="S84" s="28">
        <f t="shared" si="56"/>
        <v>10868.25</v>
      </c>
      <c r="T84" s="28">
        <f t="shared" si="48"/>
        <v>0</v>
      </c>
      <c r="U84" s="28">
        <f t="shared" si="49"/>
        <v>3027.5833333333321</v>
      </c>
      <c r="V84" s="28">
        <f t="shared" si="50"/>
        <v>10868.25</v>
      </c>
      <c r="W84" s="28">
        <f t="shared" si="51"/>
        <v>1304.19</v>
      </c>
      <c r="X84" s="28">
        <f t="shared" si="57"/>
        <v>97.421874999999986</v>
      </c>
      <c r="Y84" s="28">
        <f t="shared" si="52"/>
        <v>200</v>
      </c>
      <c r="Z84" s="46"/>
      <c r="AA84" s="46"/>
      <c r="AB84" s="28">
        <f t="shared" si="53"/>
        <v>12294.221458333332</v>
      </c>
      <c r="AC84" s="28">
        <f t="shared" si="54"/>
        <v>90.625</v>
      </c>
      <c r="AD84" s="28">
        <f t="shared" si="55"/>
        <v>90.625</v>
      </c>
      <c r="AE84" s="47"/>
      <c r="AF84" s="47"/>
      <c r="AG84" s="31">
        <v>45488</v>
      </c>
    </row>
    <row r="85" spans="1:33" ht="20.100000000000001" customHeight="1" x14ac:dyDescent="0.2">
      <c r="A85" s="47">
        <f t="shared" si="58"/>
        <v>72</v>
      </c>
      <c r="B85" s="47">
        <v>964</v>
      </c>
      <c r="C85" s="47" t="s">
        <v>34</v>
      </c>
      <c r="D85" s="47">
        <v>21</v>
      </c>
      <c r="E85" s="33" t="s">
        <v>109</v>
      </c>
      <c r="F85" s="24">
        <v>18.5</v>
      </c>
      <c r="G85" s="24">
        <v>1.5</v>
      </c>
      <c r="H85" s="25">
        <f t="shared" si="40"/>
        <v>20</v>
      </c>
      <c r="I85" s="26">
        <v>7</v>
      </c>
      <c r="J85" s="24">
        <v>7.5</v>
      </c>
      <c r="K85" s="25">
        <f t="shared" si="41"/>
        <v>3.5</v>
      </c>
      <c r="L85" s="24">
        <f t="shared" si="42"/>
        <v>3.5</v>
      </c>
      <c r="M85" s="24">
        <f t="shared" si="43"/>
        <v>3.5</v>
      </c>
      <c r="N85" s="27">
        <v>13700</v>
      </c>
      <c r="O85" s="28">
        <f t="shared" si="44"/>
        <v>10560.416666666668</v>
      </c>
      <c r="P85" s="28">
        <f t="shared" si="45"/>
        <v>856.25</v>
      </c>
      <c r="Q85" s="28">
        <f t="shared" si="46"/>
        <v>570.83333333333337</v>
      </c>
      <c r="R85" s="29">
        <f t="shared" si="47"/>
        <v>11416.666666666668</v>
      </c>
      <c r="S85" s="28">
        <f t="shared" si="56"/>
        <v>9351.75</v>
      </c>
      <c r="T85" s="28">
        <f t="shared" si="48"/>
        <v>0</v>
      </c>
      <c r="U85" s="28">
        <f t="shared" si="49"/>
        <v>2064.9166666666679</v>
      </c>
      <c r="V85" s="28">
        <f t="shared" si="50"/>
        <v>9351.75</v>
      </c>
      <c r="W85" s="28">
        <f t="shared" si="51"/>
        <v>1122.21</v>
      </c>
      <c r="X85" s="28">
        <f t="shared" si="57"/>
        <v>79.203125</v>
      </c>
      <c r="Y85" s="28">
        <f t="shared" si="52"/>
        <v>0</v>
      </c>
      <c r="Z85" s="46"/>
      <c r="AA85" s="46"/>
      <c r="AB85" s="28">
        <f t="shared" si="53"/>
        <v>10215.253541666669</v>
      </c>
      <c r="AC85" s="28">
        <f t="shared" si="54"/>
        <v>199.79166666666669</v>
      </c>
      <c r="AD85" s="28">
        <f t="shared" si="55"/>
        <v>199.79166666666669</v>
      </c>
      <c r="AE85" s="47"/>
      <c r="AF85" s="32">
        <v>1500</v>
      </c>
      <c r="AG85" s="31" t="s">
        <v>110</v>
      </c>
    </row>
    <row r="86" spans="1:33" ht="20.100000000000001" customHeight="1" x14ac:dyDescent="0.2">
      <c r="A86" s="47">
        <f t="shared" si="58"/>
        <v>73</v>
      </c>
      <c r="B86" s="47">
        <v>1026</v>
      </c>
      <c r="C86" s="47" t="s">
        <v>34</v>
      </c>
      <c r="D86" s="47">
        <v>22</v>
      </c>
      <c r="E86" s="33" t="s">
        <v>111</v>
      </c>
      <c r="F86" s="24">
        <v>21</v>
      </c>
      <c r="G86" s="24">
        <v>3</v>
      </c>
      <c r="H86" s="25">
        <f t="shared" si="40"/>
        <v>24</v>
      </c>
      <c r="I86" s="26">
        <v>0</v>
      </c>
      <c r="J86" s="24">
        <v>3.5</v>
      </c>
      <c r="K86" s="25">
        <f t="shared" si="41"/>
        <v>-0.5</v>
      </c>
      <c r="L86" s="24">
        <f t="shared" si="42"/>
        <v>0</v>
      </c>
      <c r="M86" s="24">
        <f t="shared" si="43"/>
        <v>0</v>
      </c>
      <c r="N86" s="27">
        <v>15000</v>
      </c>
      <c r="O86" s="28">
        <f t="shared" si="44"/>
        <v>13125</v>
      </c>
      <c r="P86" s="28">
        <f t="shared" si="45"/>
        <v>1875</v>
      </c>
      <c r="Q86" s="28">
        <f t="shared" si="46"/>
        <v>625</v>
      </c>
      <c r="R86" s="29">
        <f t="shared" si="47"/>
        <v>15000</v>
      </c>
      <c r="S86" s="28">
        <f t="shared" si="56"/>
        <v>10615.5</v>
      </c>
      <c r="T86" s="28">
        <f t="shared" si="48"/>
        <v>0</v>
      </c>
      <c r="U86" s="28">
        <f t="shared" si="49"/>
        <v>4384.5</v>
      </c>
      <c r="V86" s="28">
        <f t="shared" si="50"/>
        <v>10615.5</v>
      </c>
      <c r="W86" s="28">
        <f t="shared" si="51"/>
        <v>1273.8599999999999</v>
      </c>
      <c r="X86" s="28">
        <f t="shared" si="57"/>
        <v>98.4375</v>
      </c>
      <c r="Y86" s="28">
        <f t="shared" si="52"/>
        <v>200</v>
      </c>
      <c r="Z86" s="46"/>
      <c r="AA86" s="46"/>
      <c r="AB86" s="28">
        <f t="shared" si="53"/>
        <v>13427.702499999999</v>
      </c>
      <c r="AC86" s="28">
        <f t="shared" si="54"/>
        <v>0</v>
      </c>
      <c r="AD86" s="28">
        <f t="shared" si="55"/>
        <v>0</v>
      </c>
      <c r="AE86" s="47"/>
      <c r="AF86" s="47"/>
      <c r="AG86" s="31">
        <v>45690</v>
      </c>
    </row>
    <row r="87" spans="1:33" ht="20.100000000000001" customHeight="1" x14ac:dyDescent="0.2">
      <c r="A87" s="47">
        <f t="shared" si="58"/>
        <v>74</v>
      </c>
      <c r="B87" s="47">
        <v>1049</v>
      </c>
      <c r="C87" s="47" t="s">
        <v>34</v>
      </c>
      <c r="D87" s="47">
        <v>22</v>
      </c>
      <c r="E87" s="33" t="s">
        <v>112</v>
      </c>
      <c r="F87" s="24">
        <v>17.5</v>
      </c>
      <c r="G87" s="24">
        <v>3.5</v>
      </c>
      <c r="H87" s="25">
        <f t="shared" si="40"/>
        <v>21</v>
      </c>
      <c r="I87" s="26">
        <v>4</v>
      </c>
      <c r="J87" s="24">
        <v>8</v>
      </c>
      <c r="K87" s="25">
        <f t="shared" si="41"/>
        <v>4</v>
      </c>
      <c r="L87" s="24">
        <f t="shared" si="42"/>
        <v>4</v>
      </c>
      <c r="M87" s="24">
        <f t="shared" si="43"/>
        <v>0</v>
      </c>
      <c r="N87" s="27">
        <v>15600</v>
      </c>
      <c r="O87" s="28">
        <f t="shared" si="44"/>
        <v>11375</v>
      </c>
      <c r="P87" s="28">
        <f t="shared" si="45"/>
        <v>2275</v>
      </c>
      <c r="Q87" s="28">
        <f t="shared" si="46"/>
        <v>650</v>
      </c>
      <c r="R87" s="29">
        <f t="shared" si="47"/>
        <v>13650</v>
      </c>
      <c r="S87" s="28">
        <f t="shared" si="56"/>
        <v>8846.25</v>
      </c>
      <c r="T87" s="28">
        <f t="shared" si="48"/>
        <v>0</v>
      </c>
      <c r="U87" s="28">
        <f t="shared" si="49"/>
        <v>4803.75</v>
      </c>
      <c r="V87" s="28">
        <f t="shared" si="50"/>
        <v>8846.25</v>
      </c>
      <c r="W87" s="28">
        <f t="shared" si="51"/>
        <v>1061.55</v>
      </c>
      <c r="X87" s="28">
        <f t="shared" si="57"/>
        <v>85.3125</v>
      </c>
      <c r="Y87" s="28">
        <f t="shared" si="52"/>
        <v>200</v>
      </c>
      <c r="Z87" s="46"/>
      <c r="AA87" s="46"/>
      <c r="AB87" s="28">
        <f t="shared" si="53"/>
        <v>12303.137500000001</v>
      </c>
      <c r="AC87" s="28">
        <f t="shared" si="54"/>
        <v>0</v>
      </c>
      <c r="AD87" s="28">
        <f t="shared" si="55"/>
        <v>0</v>
      </c>
      <c r="AE87" s="47"/>
      <c r="AF87" s="47"/>
      <c r="AG87" s="31">
        <v>45740</v>
      </c>
    </row>
    <row r="88" spans="1:33" ht="20.100000000000001" customHeight="1" x14ac:dyDescent="0.2">
      <c r="A88" s="47">
        <f t="shared" si="58"/>
        <v>75</v>
      </c>
      <c r="B88" s="47">
        <v>1116</v>
      </c>
      <c r="C88" s="47" t="s">
        <v>34</v>
      </c>
      <c r="D88" s="47">
        <v>22</v>
      </c>
      <c r="E88" s="33" t="s">
        <v>113</v>
      </c>
      <c r="F88" s="24">
        <v>20</v>
      </c>
      <c r="G88" s="24">
        <v>2</v>
      </c>
      <c r="H88" s="25">
        <f t="shared" si="40"/>
        <v>22</v>
      </c>
      <c r="I88" s="26">
        <v>19.5</v>
      </c>
      <c r="J88" s="24">
        <v>9.5</v>
      </c>
      <c r="K88" s="25">
        <f t="shared" si="41"/>
        <v>5.5</v>
      </c>
      <c r="L88" s="24">
        <f t="shared" si="42"/>
        <v>5.5</v>
      </c>
      <c r="M88" s="24">
        <f t="shared" si="43"/>
        <v>14</v>
      </c>
      <c r="N88" s="27">
        <v>19000</v>
      </c>
      <c r="O88" s="28">
        <f t="shared" si="44"/>
        <v>15833.333333333332</v>
      </c>
      <c r="P88" s="28">
        <f t="shared" si="45"/>
        <v>1583.3333333333333</v>
      </c>
      <c r="Q88" s="28">
        <f t="shared" si="46"/>
        <v>791.66666666666663</v>
      </c>
      <c r="R88" s="29">
        <f t="shared" si="47"/>
        <v>17416.666666666664</v>
      </c>
      <c r="S88" s="28">
        <f t="shared" si="56"/>
        <v>10110</v>
      </c>
      <c r="T88" s="28">
        <f t="shared" si="48"/>
        <v>0</v>
      </c>
      <c r="U88" s="28">
        <f t="shared" si="49"/>
        <v>7306.6666666666642</v>
      </c>
      <c r="V88" s="28">
        <f t="shared" si="50"/>
        <v>10110</v>
      </c>
      <c r="W88" s="28">
        <f t="shared" si="51"/>
        <v>1213.2</v>
      </c>
      <c r="X88" s="28">
        <f t="shared" si="57"/>
        <v>118.74999999999999</v>
      </c>
      <c r="Y88" s="28">
        <f t="shared" si="52"/>
        <v>200</v>
      </c>
      <c r="Z88" s="46"/>
      <c r="AA88" s="46"/>
      <c r="AB88" s="28">
        <f t="shared" si="53"/>
        <v>15884.716666666664</v>
      </c>
      <c r="AC88" s="28">
        <f t="shared" si="54"/>
        <v>1108.3333333333335</v>
      </c>
      <c r="AD88" s="28">
        <f t="shared" si="55"/>
        <v>1108.3333333333335</v>
      </c>
      <c r="AE88" s="47"/>
      <c r="AF88" s="47"/>
      <c r="AG88" s="31">
        <v>45874</v>
      </c>
    </row>
    <row r="89" spans="1:33" ht="20.100000000000001" customHeight="1" x14ac:dyDescent="0.2">
      <c r="A89" s="47">
        <f>A88+1</f>
        <v>76</v>
      </c>
      <c r="B89" s="47">
        <v>1158</v>
      </c>
      <c r="C89" s="47" t="s">
        <v>34</v>
      </c>
      <c r="D89" s="47">
        <v>22</v>
      </c>
      <c r="E89" s="33" t="s">
        <v>114</v>
      </c>
      <c r="F89" s="24">
        <v>21</v>
      </c>
      <c r="G89" s="24">
        <v>3</v>
      </c>
      <c r="H89" s="25">
        <f t="shared" si="40"/>
        <v>24</v>
      </c>
      <c r="I89" s="26">
        <v>0</v>
      </c>
      <c r="J89" s="24">
        <v>4</v>
      </c>
      <c r="K89" s="25">
        <f t="shared" si="41"/>
        <v>0</v>
      </c>
      <c r="L89" s="24">
        <f t="shared" si="42"/>
        <v>0</v>
      </c>
      <c r="M89" s="24">
        <f t="shared" si="43"/>
        <v>0</v>
      </c>
      <c r="N89" s="27">
        <v>15000</v>
      </c>
      <c r="O89" s="28">
        <f t="shared" si="44"/>
        <v>13125</v>
      </c>
      <c r="P89" s="28">
        <f t="shared" si="45"/>
        <v>1875</v>
      </c>
      <c r="Q89" s="28">
        <f t="shared" si="46"/>
        <v>625</v>
      </c>
      <c r="R89" s="29">
        <f t="shared" si="47"/>
        <v>15000</v>
      </c>
      <c r="S89" s="28">
        <f t="shared" si="56"/>
        <v>10615.5</v>
      </c>
      <c r="T89" s="28">
        <f t="shared" si="48"/>
        <v>0</v>
      </c>
      <c r="U89" s="28">
        <f t="shared" si="49"/>
        <v>4384.5</v>
      </c>
      <c r="V89" s="28">
        <f t="shared" si="50"/>
        <v>10615.5</v>
      </c>
      <c r="W89" s="28">
        <f t="shared" si="51"/>
        <v>1273.8599999999999</v>
      </c>
      <c r="X89" s="28">
        <f t="shared" si="57"/>
        <v>98.4375</v>
      </c>
      <c r="Y89" s="28">
        <f t="shared" si="52"/>
        <v>200</v>
      </c>
      <c r="Z89" s="46"/>
      <c r="AA89" s="46"/>
      <c r="AB89" s="28">
        <f t="shared" si="53"/>
        <v>13427.702499999999</v>
      </c>
      <c r="AC89" s="28">
        <f t="shared" si="54"/>
        <v>0</v>
      </c>
      <c r="AD89" s="28">
        <f t="shared" si="55"/>
        <v>0</v>
      </c>
      <c r="AE89" s="47"/>
      <c r="AF89" s="47"/>
      <c r="AG89" s="31" t="s">
        <v>115</v>
      </c>
    </row>
    <row r="90" spans="1:33" ht="20.100000000000001" customHeight="1" x14ac:dyDescent="0.2">
      <c r="A90" s="47">
        <f t="shared" si="58"/>
        <v>77</v>
      </c>
      <c r="B90" s="47">
        <v>1269</v>
      </c>
      <c r="C90" s="47" t="s">
        <v>34</v>
      </c>
      <c r="D90" s="47">
        <v>23</v>
      </c>
      <c r="E90" s="33" t="s">
        <v>127</v>
      </c>
      <c r="F90" s="24">
        <v>18.5</v>
      </c>
      <c r="G90" s="24">
        <v>2</v>
      </c>
      <c r="H90" s="25">
        <f t="shared" si="40"/>
        <v>20.5</v>
      </c>
      <c r="I90" s="26">
        <v>0</v>
      </c>
      <c r="J90" s="24">
        <v>1.5</v>
      </c>
      <c r="K90" s="25">
        <f t="shared" si="41"/>
        <v>-2.5</v>
      </c>
      <c r="L90" s="24">
        <f t="shared" si="42"/>
        <v>0</v>
      </c>
      <c r="M90" s="24">
        <f t="shared" si="43"/>
        <v>0</v>
      </c>
      <c r="N90" s="27">
        <v>19000</v>
      </c>
      <c r="O90" s="28">
        <f t="shared" si="44"/>
        <v>14645.833333333332</v>
      </c>
      <c r="P90" s="28">
        <f t="shared" si="45"/>
        <v>1583.3333333333333</v>
      </c>
      <c r="Q90" s="28">
        <f t="shared" si="46"/>
        <v>791.66666666666663</v>
      </c>
      <c r="R90" s="29">
        <f t="shared" si="47"/>
        <v>16229.166666666666</v>
      </c>
      <c r="S90" s="28">
        <f t="shared" si="56"/>
        <v>9351.75</v>
      </c>
      <c r="T90" s="28">
        <f t="shared" si="48"/>
        <v>0</v>
      </c>
      <c r="U90" s="28">
        <f t="shared" si="49"/>
        <v>6877.4166666666661</v>
      </c>
      <c r="V90" s="28">
        <f t="shared" si="50"/>
        <v>9351.75</v>
      </c>
      <c r="W90" s="28">
        <f t="shared" si="51"/>
        <v>1122.21</v>
      </c>
      <c r="X90" s="28">
        <f t="shared" si="57"/>
        <v>109.84374999999999</v>
      </c>
      <c r="Y90" s="28">
        <f t="shared" si="52"/>
        <v>200</v>
      </c>
      <c r="Z90" s="46"/>
      <c r="AA90" s="46"/>
      <c r="AB90" s="28">
        <f t="shared" si="53"/>
        <v>14797.112916666665</v>
      </c>
      <c r="AC90" s="28">
        <f t="shared" si="54"/>
        <v>0</v>
      </c>
      <c r="AD90" s="28">
        <f t="shared" si="55"/>
        <v>0</v>
      </c>
      <c r="AE90" s="47"/>
      <c r="AF90" s="47"/>
      <c r="AG90" s="31" t="s">
        <v>128</v>
      </c>
    </row>
    <row r="91" spans="1:33" ht="20.100000000000001" customHeight="1" x14ac:dyDescent="0.2">
      <c r="A91" s="47">
        <f t="shared" si="58"/>
        <v>78</v>
      </c>
      <c r="B91" s="47">
        <v>1289</v>
      </c>
      <c r="C91" s="47" t="s">
        <v>34</v>
      </c>
      <c r="D91" s="47">
        <v>23</v>
      </c>
      <c r="E91" s="33" t="s">
        <v>131</v>
      </c>
      <c r="F91" s="24">
        <v>19</v>
      </c>
      <c r="G91" s="24">
        <v>0</v>
      </c>
      <c r="H91" s="25">
        <f t="shared" si="40"/>
        <v>19</v>
      </c>
      <c r="I91" s="26">
        <v>0</v>
      </c>
      <c r="J91" s="24">
        <v>1.5</v>
      </c>
      <c r="K91" s="25">
        <f t="shared" si="41"/>
        <v>-2.5</v>
      </c>
      <c r="L91" s="24">
        <f t="shared" si="42"/>
        <v>0</v>
      </c>
      <c r="M91" s="24">
        <f t="shared" si="43"/>
        <v>0</v>
      </c>
      <c r="N91" s="27">
        <v>17500</v>
      </c>
      <c r="O91" s="28">
        <f t="shared" si="44"/>
        <v>13854.166666666666</v>
      </c>
      <c r="P91" s="28">
        <f t="shared" si="45"/>
        <v>0</v>
      </c>
      <c r="Q91" s="28">
        <f t="shared" si="46"/>
        <v>729.16666666666663</v>
      </c>
      <c r="R91" s="29">
        <f t="shared" si="47"/>
        <v>13854.166666666666</v>
      </c>
      <c r="S91" s="28">
        <f t="shared" si="56"/>
        <v>9604.5</v>
      </c>
      <c r="T91" s="28">
        <f t="shared" si="48"/>
        <v>0</v>
      </c>
      <c r="U91" s="28">
        <f t="shared" si="49"/>
        <v>4249.6666666666661</v>
      </c>
      <c r="V91" s="28">
        <f t="shared" si="50"/>
        <v>9604.5</v>
      </c>
      <c r="W91" s="28">
        <f t="shared" si="51"/>
        <v>1152.54</v>
      </c>
      <c r="X91" s="28">
        <f t="shared" si="57"/>
        <v>103.90624999999999</v>
      </c>
      <c r="Y91" s="28">
        <f t="shared" si="52"/>
        <v>200</v>
      </c>
      <c r="Z91" s="46"/>
      <c r="AA91" s="46"/>
      <c r="AB91" s="28">
        <f t="shared" si="53"/>
        <v>12397.720416666667</v>
      </c>
      <c r="AC91" s="28">
        <f t="shared" si="54"/>
        <v>0</v>
      </c>
      <c r="AD91" s="28">
        <f t="shared" si="55"/>
        <v>0</v>
      </c>
      <c r="AE91" s="47"/>
      <c r="AF91" s="47"/>
      <c r="AG91" s="31" t="s">
        <v>132</v>
      </c>
    </row>
    <row r="92" spans="1:33" ht="20.100000000000001" customHeight="1" x14ac:dyDescent="0.2">
      <c r="A92" s="47"/>
      <c r="B92" s="47"/>
      <c r="C92" s="47"/>
      <c r="D92" s="47"/>
      <c r="E92" s="33"/>
      <c r="F92" s="24"/>
      <c r="G92" s="24"/>
      <c r="H92" s="25"/>
      <c r="I92" s="26"/>
      <c r="J92" s="24"/>
      <c r="K92" s="25"/>
      <c r="L92" s="24"/>
      <c r="M92" s="24"/>
      <c r="N92" s="27"/>
      <c r="O92" s="28">
        <f t="shared" si="44"/>
        <v>0</v>
      </c>
      <c r="P92" s="28">
        <f t="shared" si="45"/>
        <v>0</v>
      </c>
      <c r="Q92" s="28">
        <f t="shared" si="46"/>
        <v>0</v>
      </c>
      <c r="R92" s="29">
        <f t="shared" si="47"/>
        <v>0</v>
      </c>
      <c r="S92" s="28">
        <f t="shared" si="56"/>
        <v>0</v>
      </c>
      <c r="T92" s="28">
        <f t="shared" si="48"/>
        <v>0</v>
      </c>
      <c r="U92" s="28">
        <f t="shared" si="49"/>
        <v>0</v>
      </c>
      <c r="V92" s="28">
        <f t="shared" si="50"/>
        <v>0</v>
      </c>
      <c r="W92" s="28">
        <f t="shared" si="51"/>
        <v>0</v>
      </c>
      <c r="X92" s="28">
        <f t="shared" si="57"/>
        <v>0</v>
      </c>
      <c r="Y92" s="28">
        <f t="shared" si="52"/>
        <v>0</v>
      </c>
      <c r="Z92" s="46"/>
      <c r="AA92" s="46"/>
      <c r="AB92" s="28">
        <f t="shared" si="53"/>
        <v>0</v>
      </c>
      <c r="AC92" s="28">
        <f t="shared" si="54"/>
        <v>0</v>
      </c>
      <c r="AD92" s="28">
        <f t="shared" si="55"/>
        <v>0</v>
      </c>
      <c r="AE92" s="47"/>
      <c r="AF92" s="47"/>
      <c r="AG92" s="31"/>
    </row>
    <row r="93" spans="1:33" ht="20.100000000000001" customHeight="1" x14ac:dyDescent="0.2">
      <c r="A93" s="47"/>
      <c r="B93" s="47"/>
      <c r="C93" s="47"/>
      <c r="D93" s="47"/>
      <c r="E93" s="33"/>
      <c r="F93" s="24"/>
      <c r="G93" s="24"/>
      <c r="H93" s="25"/>
      <c r="I93" s="26"/>
      <c r="J93" s="24"/>
      <c r="K93" s="25"/>
      <c r="L93" s="24"/>
      <c r="M93" s="24"/>
      <c r="N93" s="27"/>
      <c r="O93" s="28">
        <f t="shared" si="44"/>
        <v>0</v>
      </c>
      <c r="P93" s="28">
        <f t="shared" si="45"/>
        <v>0</v>
      </c>
      <c r="Q93" s="28">
        <f t="shared" si="46"/>
        <v>0</v>
      </c>
      <c r="R93" s="29">
        <f t="shared" si="47"/>
        <v>0</v>
      </c>
      <c r="S93" s="28">
        <f t="shared" si="56"/>
        <v>0</v>
      </c>
      <c r="T93" s="28">
        <f t="shared" si="48"/>
        <v>0</v>
      </c>
      <c r="U93" s="28">
        <f t="shared" si="49"/>
        <v>0</v>
      </c>
      <c r="V93" s="28">
        <f t="shared" si="50"/>
        <v>0</v>
      </c>
      <c r="W93" s="28">
        <f t="shared" si="51"/>
        <v>0</v>
      </c>
      <c r="X93" s="28">
        <f t="shared" si="57"/>
        <v>0</v>
      </c>
      <c r="Y93" s="28">
        <f t="shared" si="52"/>
        <v>0</v>
      </c>
      <c r="Z93" s="46"/>
      <c r="AA93" s="46"/>
      <c r="AB93" s="28">
        <f t="shared" si="53"/>
        <v>0</v>
      </c>
      <c r="AC93" s="28">
        <f t="shared" si="54"/>
        <v>0</v>
      </c>
      <c r="AD93" s="28">
        <f t="shared" si="55"/>
        <v>0</v>
      </c>
      <c r="AE93" s="47"/>
      <c r="AF93" s="47"/>
      <c r="AG93" s="31"/>
    </row>
    <row r="94" spans="1:33" ht="20.100000000000001" customHeight="1" x14ac:dyDescent="0.2">
      <c r="A94" s="47"/>
      <c r="B94" s="47"/>
      <c r="C94" s="47"/>
      <c r="D94" s="47"/>
      <c r="E94" s="33"/>
      <c r="F94" s="24"/>
      <c r="G94" s="24"/>
      <c r="H94" s="25"/>
      <c r="I94" s="26"/>
      <c r="J94" s="24"/>
      <c r="K94" s="25"/>
      <c r="L94" s="24"/>
      <c r="M94" s="24"/>
      <c r="N94" s="27"/>
      <c r="O94" s="28">
        <f t="shared" si="44"/>
        <v>0</v>
      </c>
      <c r="P94" s="28">
        <f t="shared" si="45"/>
        <v>0</v>
      </c>
      <c r="Q94" s="28">
        <f t="shared" si="46"/>
        <v>0</v>
      </c>
      <c r="R94" s="29">
        <f t="shared" si="47"/>
        <v>0</v>
      </c>
      <c r="S94" s="28">
        <f t="shared" si="56"/>
        <v>0</v>
      </c>
      <c r="T94" s="28">
        <f t="shared" si="48"/>
        <v>0</v>
      </c>
      <c r="U94" s="28">
        <f t="shared" si="49"/>
        <v>0</v>
      </c>
      <c r="V94" s="28">
        <f t="shared" si="50"/>
        <v>0</v>
      </c>
      <c r="W94" s="28">
        <f t="shared" si="51"/>
        <v>0</v>
      </c>
      <c r="X94" s="28">
        <f t="shared" si="57"/>
        <v>0</v>
      </c>
      <c r="Y94" s="28">
        <f t="shared" si="52"/>
        <v>0</v>
      </c>
      <c r="Z94" s="46"/>
      <c r="AA94" s="46"/>
      <c r="AB94" s="28">
        <f t="shared" si="53"/>
        <v>0</v>
      </c>
      <c r="AC94" s="28">
        <f t="shared" si="54"/>
        <v>0</v>
      </c>
      <c r="AD94" s="28">
        <f t="shared" si="55"/>
        <v>0</v>
      </c>
      <c r="AE94" s="47"/>
      <c r="AF94" s="47"/>
      <c r="AG94" s="31"/>
    </row>
    <row r="95" spans="1:33" ht="20.100000000000001" customHeight="1" x14ac:dyDescent="0.2">
      <c r="A95" s="47"/>
      <c r="B95" s="47"/>
      <c r="C95" s="47"/>
      <c r="D95" s="47"/>
      <c r="E95" s="33"/>
      <c r="F95" s="24"/>
      <c r="G95" s="24"/>
      <c r="H95" s="25"/>
      <c r="I95" s="26"/>
      <c r="J95" s="24"/>
      <c r="K95" s="25"/>
      <c r="L95" s="24"/>
      <c r="M95" s="24"/>
      <c r="N95" s="27"/>
      <c r="O95" s="28">
        <f t="shared" si="44"/>
        <v>0</v>
      </c>
      <c r="P95" s="28">
        <f t="shared" si="45"/>
        <v>0</v>
      </c>
      <c r="Q95" s="28">
        <f t="shared" si="46"/>
        <v>0</v>
      </c>
      <c r="R95" s="29">
        <f t="shared" si="47"/>
        <v>0</v>
      </c>
      <c r="S95" s="28">
        <f t="shared" si="56"/>
        <v>0</v>
      </c>
      <c r="T95" s="28">
        <f t="shared" si="48"/>
        <v>0</v>
      </c>
      <c r="U95" s="28">
        <f t="shared" si="49"/>
        <v>0</v>
      </c>
      <c r="V95" s="28">
        <f t="shared" si="50"/>
        <v>0</v>
      </c>
      <c r="W95" s="28">
        <f t="shared" si="51"/>
        <v>0</v>
      </c>
      <c r="X95" s="28">
        <f t="shared" si="57"/>
        <v>0</v>
      </c>
      <c r="Y95" s="28">
        <f t="shared" si="52"/>
        <v>0</v>
      </c>
      <c r="Z95" s="46"/>
      <c r="AA95" s="46"/>
      <c r="AB95" s="28">
        <f t="shared" si="53"/>
        <v>0</v>
      </c>
      <c r="AC95" s="28">
        <f t="shared" si="54"/>
        <v>0</v>
      </c>
      <c r="AD95" s="28">
        <f t="shared" si="55"/>
        <v>0</v>
      </c>
      <c r="AE95" s="47"/>
      <c r="AF95" s="47"/>
      <c r="AG95" s="31"/>
    </row>
    <row r="96" spans="1:33" ht="20.100000000000001" customHeight="1" x14ac:dyDescent="0.2">
      <c r="A96" s="47"/>
      <c r="B96" s="47"/>
      <c r="C96" s="47"/>
      <c r="D96" s="47"/>
      <c r="E96" s="33"/>
      <c r="F96" s="24"/>
      <c r="G96" s="24"/>
      <c r="H96" s="25"/>
      <c r="I96" s="26"/>
      <c r="J96" s="24"/>
      <c r="K96" s="25"/>
      <c r="L96" s="24"/>
      <c r="M96" s="24"/>
      <c r="N96" s="27"/>
      <c r="O96" s="28">
        <f t="shared" si="44"/>
        <v>0</v>
      </c>
      <c r="P96" s="28">
        <f t="shared" si="45"/>
        <v>0</v>
      </c>
      <c r="Q96" s="28">
        <f t="shared" si="46"/>
        <v>0</v>
      </c>
      <c r="R96" s="29">
        <f t="shared" si="47"/>
        <v>0</v>
      </c>
      <c r="S96" s="28">
        <f t="shared" si="56"/>
        <v>0</v>
      </c>
      <c r="T96" s="28">
        <f t="shared" si="48"/>
        <v>0</v>
      </c>
      <c r="U96" s="28">
        <f t="shared" si="49"/>
        <v>0</v>
      </c>
      <c r="V96" s="28">
        <f t="shared" si="50"/>
        <v>0</v>
      </c>
      <c r="W96" s="28">
        <f t="shared" si="51"/>
        <v>0</v>
      </c>
      <c r="X96" s="28">
        <f t="shared" si="57"/>
        <v>0</v>
      </c>
      <c r="Y96" s="28">
        <f t="shared" si="52"/>
        <v>0</v>
      </c>
      <c r="Z96" s="46"/>
      <c r="AA96" s="46"/>
      <c r="AB96" s="28">
        <f t="shared" si="53"/>
        <v>0</v>
      </c>
      <c r="AC96" s="28">
        <f t="shared" si="54"/>
        <v>0</v>
      </c>
      <c r="AD96" s="28">
        <f t="shared" si="55"/>
        <v>0</v>
      </c>
      <c r="AE96" s="47"/>
      <c r="AF96" s="47"/>
      <c r="AG96" s="31"/>
    </row>
    <row r="97" spans="1:33" ht="20.100000000000001" customHeight="1" x14ac:dyDescent="0.2">
      <c r="A97" s="47"/>
      <c r="B97" s="47"/>
      <c r="C97" s="47"/>
      <c r="D97" s="47"/>
      <c r="E97" s="33"/>
      <c r="F97" s="24"/>
      <c r="G97" s="24"/>
      <c r="H97" s="25"/>
      <c r="I97" s="26"/>
      <c r="J97" s="24"/>
      <c r="K97" s="25"/>
      <c r="L97" s="24"/>
      <c r="M97" s="24"/>
      <c r="N97" s="27"/>
      <c r="O97" s="28">
        <f t="shared" si="44"/>
        <v>0</v>
      </c>
      <c r="P97" s="28">
        <f t="shared" si="45"/>
        <v>0</v>
      </c>
      <c r="Q97" s="28">
        <f t="shared" si="46"/>
        <v>0</v>
      </c>
      <c r="R97" s="29">
        <f t="shared" si="47"/>
        <v>0</v>
      </c>
      <c r="S97" s="28">
        <f t="shared" si="56"/>
        <v>0</v>
      </c>
      <c r="T97" s="28">
        <f t="shared" si="48"/>
        <v>0</v>
      </c>
      <c r="U97" s="28">
        <f t="shared" si="49"/>
        <v>0</v>
      </c>
      <c r="V97" s="28">
        <f t="shared" si="50"/>
        <v>0</v>
      </c>
      <c r="W97" s="28">
        <f t="shared" si="51"/>
        <v>0</v>
      </c>
      <c r="X97" s="28">
        <f t="shared" si="57"/>
        <v>0</v>
      </c>
      <c r="Y97" s="28">
        <f t="shared" si="52"/>
        <v>0</v>
      </c>
      <c r="Z97" s="46"/>
      <c r="AA97" s="46"/>
      <c r="AB97" s="28">
        <f t="shared" si="53"/>
        <v>0</v>
      </c>
      <c r="AC97" s="28">
        <f t="shared" si="54"/>
        <v>0</v>
      </c>
      <c r="AD97" s="28">
        <f t="shared" si="55"/>
        <v>0</v>
      </c>
      <c r="AE97" s="47"/>
      <c r="AF97" s="47"/>
      <c r="AG97" s="31"/>
    </row>
    <row r="98" spans="1:33" ht="20.100000000000001" customHeight="1" x14ac:dyDescent="0.2">
      <c r="A98" s="46"/>
      <c r="B98" s="47"/>
      <c r="C98" s="47"/>
      <c r="D98" s="47"/>
      <c r="E98" s="10"/>
      <c r="F98" s="10"/>
      <c r="G98" s="10"/>
      <c r="H98" s="26"/>
      <c r="I98" s="26"/>
      <c r="J98" s="24"/>
      <c r="K98" s="25"/>
      <c r="L98" s="24"/>
      <c r="M98" s="24"/>
      <c r="N98" s="27"/>
      <c r="O98" s="28">
        <f t="shared" si="44"/>
        <v>0</v>
      </c>
      <c r="P98" s="28">
        <f t="shared" si="45"/>
        <v>0</v>
      </c>
      <c r="Q98" s="28">
        <f t="shared" si="46"/>
        <v>0</v>
      </c>
      <c r="R98" s="29">
        <f t="shared" si="47"/>
        <v>0</v>
      </c>
      <c r="S98" s="28">
        <f t="shared" si="56"/>
        <v>0</v>
      </c>
      <c r="T98" s="28">
        <f t="shared" si="48"/>
        <v>0</v>
      </c>
      <c r="U98" s="28">
        <f t="shared" si="49"/>
        <v>0</v>
      </c>
      <c r="V98" s="28">
        <f t="shared" si="50"/>
        <v>0</v>
      </c>
      <c r="W98" s="28">
        <f t="shared" si="51"/>
        <v>0</v>
      </c>
      <c r="X98" s="28">
        <f t="shared" si="57"/>
        <v>0</v>
      </c>
      <c r="Y98" s="28">
        <f t="shared" si="52"/>
        <v>0</v>
      </c>
      <c r="Z98" s="46"/>
      <c r="AA98" s="46"/>
      <c r="AB98" s="28">
        <f t="shared" si="53"/>
        <v>0</v>
      </c>
      <c r="AC98" s="28">
        <f t="shared" si="54"/>
        <v>0</v>
      </c>
      <c r="AD98" s="28">
        <f t="shared" si="55"/>
        <v>0</v>
      </c>
      <c r="AE98" s="10"/>
      <c r="AF98" s="10"/>
      <c r="AG98" s="15"/>
    </row>
    <row r="99" spans="1:33" ht="20.100000000000001" customHeight="1" x14ac:dyDescent="0.2">
      <c r="A99" s="46"/>
      <c r="B99" s="47"/>
      <c r="C99" s="47"/>
      <c r="D99" s="47"/>
      <c r="E99" s="10"/>
      <c r="F99" s="10"/>
      <c r="G99" s="10"/>
      <c r="H99" s="26"/>
      <c r="I99" s="26"/>
      <c r="J99" s="24"/>
      <c r="K99" s="25"/>
      <c r="L99" s="24"/>
      <c r="M99" s="24"/>
      <c r="N99" s="27"/>
      <c r="O99" s="28">
        <f t="shared" si="44"/>
        <v>0</v>
      </c>
      <c r="P99" s="28">
        <f t="shared" si="45"/>
        <v>0</v>
      </c>
      <c r="Q99" s="28">
        <f t="shared" si="46"/>
        <v>0</v>
      </c>
      <c r="R99" s="29">
        <f t="shared" si="47"/>
        <v>0</v>
      </c>
      <c r="S99" s="28">
        <f t="shared" si="56"/>
        <v>0</v>
      </c>
      <c r="T99" s="28">
        <f t="shared" si="48"/>
        <v>0</v>
      </c>
      <c r="U99" s="28">
        <f t="shared" si="49"/>
        <v>0</v>
      </c>
      <c r="V99" s="28">
        <f t="shared" si="50"/>
        <v>0</v>
      </c>
      <c r="W99" s="28">
        <f t="shared" si="51"/>
        <v>0</v>
      </c>
      <c r="X99" s="28">
        <f t="shared" si="57"/>
        <v>0</v>
      </c>
      <c r="Y99" s="28">
        <f t="shared" si="52"/>
        <v>0</v>
      </c>
      <c r="Z99" s="46"/>
      <c r="AA99" s="46"/>
      <c r="AB99" s="28">
        <f t="shared" si="53"/>
        <v>0</v>
      </c>
      <c r="AC99" s="28">
        <f t="shared" si="54"/>
        <v>0</v>
      </c>
      <c r="AD99" s="28">
        <f t="shared" si="55"/>
        <v>0</v>
      </c>
      <c r="AE99" s="10"/>
      <c r="AF99" s="10"/>
      <c r="AG99" s="15"/>
    </row>
    <row r="100" spans="1:33" ht="20.100000000000001" customHeight="1" x14ac:dyDescent="0.2">
      <c r="A100" s="46"/>
      <c r="B100" s="47"/>
      <c r="C100" s="47"/>
      <c r="D100" s="47"/>
      <c r="E100" s="10"/>
      <c r="F100" s="10"/>
      <c r="G100" s="10"/>
      <c r="H100" s="26"/>
      <c r="I100" s="26"/>
      <c r="J100" s="24"/>
      <c r="K100" s="25"/>
      <c r="L100" s="24"/>
      <c r="M100" s="24"/>
      <c r="N100" s="27"/>
      <c r="O100" s="28">
        <f t="shared" si="44"/>
        <v>0</v>
      </c>
      <c r="P100" s="28">
        <f t="shared" si="45"/>
        <v>0</v>
      </c>
      <c r="Q100" s="28">
        <f t="shared" si="46"/>
        <v>0</v>
      </c>
      <c r="R100" s="29">
        <f t="shared" si="47"/>
        <v>0</v>
      </c>
      <c r="S100" s="28">
        <f t="shared" si="56"/>
        <v>0</v>
      </c>
      <c r="T100" s="28">
        <f t="shared" si="48"/>
        <v>0</v>
      </c>
      <c r="U100" s="28">
        <f t="shared" si="49"/>
        <v>0</v>
      </c>
      <c r="V100" s="28">
        <f t="shared" si="50"/>
        <v>0</v>
      </c>
      <c r="W100" s="28">
        <f t="shared" si="51"/>
        <v>0</v>
      </c>
      <c r="X100" s="28">
        <f t="shared" si="57"/>
        <v>0</v>
      </c>
      <c r="Y100" s="28">
        <f t="shared" si="52"/>
        <v>0</v>
      </c>
      <c r="Z100" s="46"/>
      <c r="AA100" s="46"/>
      <c r="AB100" s="28">
        <f t="shared" si="53"/>
        <v>0</v>
      </c>
      <c r="AC100" s="28">
        <f t="shared" si="54"/>
        <v>0</v>
      </c>
      <c r="AD100" s="28">
        <f t="shared" si="55"/>
        <v>0</v>
      </c>
      <c r="AE100" s="10"/>
      <c r="AF100" s="10"/>
      <c r="AG100" s="15"/>
    </row>
    <row r="101" spans="1:33" ht="20.100000000000001" customHeight="1" x14ac:dyDescent="0.2">
      <c r="A101" s="46"/>
      <c r="B101" s="47"/>
      <c r="C101" s="47"/>
      <c r="D101" s="47"/>
      <c r="E101" s="10"/>
      <c r="F101" s="10"/>
      <c r="G101" s="10"/>
      <c r="H101" s="26"/>
      <c r="I101" s="26"/>
      <c r="J101" s="24"/>
      <c r="K101" s="25"/>
      <c r="L101" s="24"/>
      <c r="M101" s="24"/>
      <c r="N101" s="27"/>
      <c r="O101" s="28">
        <f t="shared" si="44"/>
        <v>0</v>
      </c>
      <c r="P101" s="28">
        <f t="shared" si="45"/>
        <v>0</v>
      </c>
      <c r="Q101" s="28">
        <f t="shared" si="46"/>
        <v>0</v>
      </c>
      <c r="R101" s="29">
        <f t="shared" si="47"/>
        <v>0</v>
      </c>
      <c r="S101" s="28">
        <f t="shared" si="56"/>
        <v>0</v>
      </c>
      <c r="T101" s="28">
        <f t="shared" si="48"/>
        <v>0</v>
      </c>
      <c r="U101" s="28">
        <f t="shared" si="49"/>
        <v>0</v>
      </c>
      <c r="V101" s="28">
        <f t="shared" si="50"/>
        <v>0</v>
      </c>
      <c r="W101" s="28">
        <f t="shared" si="51"/>
        <v>0</v>
      </c>
      <c r="X101" s="28">
        <f t="shared" si="57"/>
        <v>0</v>
      </c>
      <c r="Y101" s="28">
        <f t="shared" si="52"/>
        <v>0</v>
      </c>
      <c r="Z101" s="46"/>
      <c r="AA101" s="46"/>
      <c r="AB101" s="28">
        <f t="shared" si="53"/>
        <v>0</v>
      </c>
      <c r="AC101" s="28">
        <f t="shared" si="54"/>
        <v>0</v>
      </c>
      <c r="AD101" s="28">
        <f t="shared" si="55"/>
        <v>0</v>
      </c>
      <c r="AE101" s="10"/>
      <c r="AF101" s="10"/>
      <c r="AG101" s="15"/>
    </row>
    <row r="102" spans="1:33" s="39" customFormat="1" ht="20.100000000000001" customHeight="1" x14ac:dyDescent="0.2">
      <c r="A102" s="48" t="s">
        <v>93</v>
      </c>
      <c r="B102" s="48"/>
      <c r="C102" s="48"/>
      <c r="D102" s="48"/>
      <c r="E102" s="34"/>
      <c r="F102" s="34"/>
      <c r="G102" s="34"/>
      <c r="H102" s="35"/>
      <c r="I102" s="26"/>
      <c r="J102" s="24"/>
      <c r="K102" s="25"/>
      <c r="L102" s="24"/>
      <c r="M102" s="24"/>
      <c r="N102" s="36">
        <f t="shared" ref="N102:AF102" si="59">SUM(N70:N101)</f>
        <v>373300</v>
      </c>
      <c r="O102" s="36">
        <f t="shared" si="59"/>
        <v>334283.33333333331</v>
      </c>
      <c r="P102" s="37">
        <f t="shared" si="59"/>
        <v>25118.75</v>
      </c>
      <c r="Q102" s="37">
        <f t="shared" si="59"/>
        <v>15554.166666666666</v>
      </c>
      <c r="R102" s="36">
        <f t="shared" si="59"/>
        <v>359402.08333333343</v>
      </c>
      <c r="S102" s="37">
        <f t="shared" si="59"/>
        <v>238848.75</v>
      </c>
      <c r="T102" s="37">
        <f t="shared" si="59"/>
        <v>0</v>
      </c>
      <c r="U102" s="37">
        <f t="shared" si="59"/>
        <v>120553.33333333334</v>
      </c>
      <c r="V102" s="37">
        <f t="shared" si="59"/>
        <v>238848.75</v>
      </c>
      <c r="W102" s="36">
        <f t="shared" si="59"/>
        <v>28661.850000000002</v>
      </c>
      <c r="X102" s="36">
        <f t="shared" si="59"/>
        <v>2507.125</v>
      </c>
      <c r="Y102" s="36">
        <f t="shared" si="59"/>
        <v>4200</v>
      </c>
      <c r="Z102" s="37">
        <f t="shared" si="59"/>
        <v>5000</v>
      </c>
      <c r="AA102" s="37">
        <f t="shared" si="59"/>
        <v>0</v>
      </c>
      <c r="AB102" s="36">
        <f t="shared" si="59"/>
        <v>319033.1083333334</v>
      </c>
      <c r="AC102" s="37">
        <f t="shared" si="59"/>
        <v>13155.833333333332</v>
      </c>
      <c r="AD102" s="36">
        <f t="shared" si="59"/>
        <v>13155.833333333332</v>
      </c>
      <c r="AE102" s="37">
        <f t="shared" si="59"/>
        <v>0</v>
      </c>
      <c r="AF102" s="36">
        <f t="shared" si="59"/>
        <v>2500</v>
      </c>
      <c r="AG102" s="38"/>
    </row>
    <row r="103" spans="1:33" ht="20.100000000000001" customHeight="1" x14ac:dyDescent="0.2">
      <c r="A103" s="47">
        <v>79</v>
      </c>
      <c r="B103" s="47">
        <v>5008</v>
      </c>
      <c r="C103" s="47" t="s">
        <v>34</v>
      </c>
      <c r="D103" s="47">
        <v>31</v>
      </c>
      <c r="E103" s="33" t="s">
        <v>116</v>
      </c>
      <c r="F103" s="24">
        <v>24</v>
      </c>
      <c r="G103" s="24">
        <v>0</v>
      </c>
      <c r="H103" s="25">
        <f t="shared" ref="H103:H108" si="60">F103+G103</f>
        <v>24</v>
      </c>
      <c r="I103" s="26">
        <v>0</v>
      </c>
      <c r="J103" s="24">
        <v>0</v>
      </c>
      <c r="K103" s="25">
        <f t="shared" ref="K103:K108" si="61">J103-$K$2</f>
        <v>-4</v>
      </c>
      <c r="L103" s="24">
        <f t="shared" ref="L103:L108" si="62">IF(K103&gt;=0,K103,IF(K103&lt;0,0))</f>
        <v>0</v>
      </c>
      <c r="M103" s="24">
        <v>0</v>
      </c>
      <c r="N103" s="27">
        <v>57000</v>
      </c>
      <c r="O103" s="28">
        <f>F103*Q103</f>
        <v>57000</v>
      </c>
      <c r="P103" s="28">
        <f>G103*Q103</f>
        <v>0</v>
      </c>
      <c r="Q103" s="28">
        <f>N103/$E$2</f>
        <v>2375</v>
      </c>
      <c r="R103" s="29">
        <f>H103*Q103</f>
        <v>57000</v>
      </c>
      <c r="S103" s="28">
        <f>O103*50%</f>
        <v>28500</v>
      </c>
      <c r="T103" s="28">
        <f>O103*10%</f>
        <v>5700</v>
      </c>
      <c r="U103" s="28">
        <f>O103*40%</f>
        <v>22800</v>
      </c>
      <c r="V103" s="28">
        <f>S103+T103</f>
        <v>34200</v>
      </c>
      <c r="W103" s="28"/>
      <c r="X103" s="28"/>
      <c r="Y103" s="28">
        <f>IF(R103&lt;12000,0,IF(R103&gt;12000,200,))</f>
        <v>200</v>
      </c>
      <c r="Z103" s="46"/>
      <c r="AA103" s="46"/>
      <c r="AB103" s="28">
        <f>R103-W103-X103-Y103-Z103-AA103</f>
        <v>56800</v>
      </c>
      <c r="AC103" s="28">
        <f>N103/30/8*M103</f>
        <v>0</v>
      </c>
      <c r="AD103" s="28">
        <f>AC103+AE103</f>
        <v>0</v>
      </c>
      <c r="AE103" s="47"/>
      <c r="AF103" s="47"/>
      <c r="AG103" s="31">
        <v>43221</v>
      </c>
    </row>
    <row r="104" spans="1:33" ht="20.100000000000001" customHeight="1" x14ac:dyDescent="0.2">
      <c r="A104" s="47">
        <f t="shared" ref="A104:A108" si="63">A103+1</f>
        <v>80</v>
      </c>
      <c r="B104" s="47">
        <v>5003</v>
      </c>
      <c r="C104" s="47" t="s">
        <v>34</v>
      </c>
      <c r="D104" s="47">
        <v>31</v>
      </c>
      <c r="E104" s="33" t="s">
        <v>117</v>
      </c>
      <c r="F104" s="24">
        <v>10</v>
      </c>
      <c r="G104" s="24">
        <v>2</v>
      </c>
      <c r="H104" s="25">
        <f t="shared" si="60"/>
        <v>12</v>
      </c>
      <c r="I104" s="26">
        <v>0</v>
      </c>
      <c r="J104" s="24">
        <v>0</v>
      </c>
      <c r="K104" s="25">
        <f t="shared" si="61"/>
        <v>-4</v>
      </c>
      <c r="L104" s="24">
        <f t="shared" si="62"/>
        <v>0</v>
      </c>
      <c r="M104" s="24">
        <v>0</v>
      </c>
      <c r="N104" s="27">
        <v>41000</v>
      </c>
      <c r="O104" s="28">
        <f t="shared" ref="O104:O126" si="64">F104*Q104</f>
        <v>17083.333333333332</v>
      </c>
      <c r="P104" s="28">
        <f t="shared" ref="P104:P126" si="65">G104*Q104</f>
        <v>3416.6666666666665</v>
      </c>
      <c r="Q104" s="28">
        <f t="shared" ref="Q104:Q126" si="66">N104/$E$2</f>
        <v>1708.3333333333333</v>
      </c>
      <c r="R104" s="29">
        <f t="shared" ref="R104:R126" si="67">H104*Q104</f>
        <v>20500</v>
      </c>
      <c r="S104" s="28">
        <f t="shared" ref="S104:S126" si="68">O104*50%</f>
        <v>8541.6666666666661</v>
      </c>
      <c r="T104" s="28">
        <f t="shared" ref="T104:T126" si="69">O104*10%</f>
        <v>1708.3333333333333</v>
      </c>
      <c r="U104" s="28">
        <f t="shared" ref="U104:U126" si="70">O104*40%</f>
        <v>6833.333333333333</v>
      </c>
      <c r="V104" s="28">
        <f t="shared" ref="V104:V126" si="71">S104+T104</f>
        <v>10250</v>
      </c>
      <c r="W104" s="28"/>
      <c r="X104" s="28"/>
      <c r="Y104" s="28">
        <f t="shared" ref="Y104:Y126" si="72">IF(R104&lt;12000,0,IF(R104&gt;12000,200,))</f>
        <v>200</v>
      </c>
      <c r="Z104" s="30">
        <v>10000</v>
      </c>
      <c r="AA104" s="46"/>
      <c r="AB104" s="28">
        <f t="shared" ref="AB104:AB126" si="73">R104-W104-X104-Y104-Z104-AA104</f>
        <v>10300</v>
      </c>
      <c r="AC104" s="28">
        <f t="shared" ref="AC104:AC126" si="74">N104/30/8*M104</f>
        <v>0</v>
      </c>
      <c r="AD104" s="28">
        <f t="shared" ref="AD104:AD126" si="75">AC104+AE104</f>
        <v>0</v>
      </c>
      <c r="AE104" s="47"/>
      <c r="AF104" s="32">
        <f>AB104</f>
        <v>10300</v>
      </c>
      <c r="AG104" s="31">
        <v>44470</v>
      </c>
    </row>
    <row r="105" spans="1:33" ht="20.100000000000001" customHeight="1" x14ac:dyDescent="0.2">
      <c r="A105" s="47">
        <f t="shared" si="63"/>
        <v>81</v>
      </c>
      <c r="B105" s="47">
        <v>5004</v>
      </c>
      <c r="C105" s="47" t="s">
        <v>34</v>
      </c>
      <c r="D105" s="47">
        <v>31</v>
      </c>
      <c r="E105" s="33" t="s">
        <v>118</v>
      </c>
      <c r="F105" s="24">
        <v>22</v>
      </c>
      <c r="G105" s="24">
        <v>2</v>
      </c>
      <c r="H105" s="25">
        <f t="shared" si="60"/>
        <v>24</v>
      </c>
      <c r="I105" s="26">
        <v>0</v>
      </c>
      <c r="J105" s="24">
        <v>0</v>
      </c>
      <c r="K105" s="25">
        <f t="shared" si="61"/>
        <v>-4</v>
      </c>
      <c r="L105" s="24">
        <f t="shared" si="62"/>
        <v>0</v>
      </c>
      <c r="M105" s="24">
        <v>0</v>
      </c>
      <c r="N105" s="27">
        <v>46000</v>
      </c>
      <c r="O105" s="28">
        <f t="shared" si="64"/>
        <v>42166.666666666672</v>
      </c>
      <c r="P105" s="28">
        <f t="shared" si="65"/>
        <v>3833.3333333333335</v>
      </c>
      <c r="Q105" s="28">
        <f t="shared" si="66"/>
        <v>1916.6666666666667</v>
      </c>
      <c r="R105" s="29">
        <f t="shared" si="67"/>
        <v>46000</v>
      </c>
      <c r="S105" s="28">
        <f t="shared" si="68"/>
        <v>21083.333333333336</v>
      </c>
      <c r="T105" s="28">
        <f t="shared" si="69"/>
        <v>4216.666666666667</v>
      </c>
      <c r="U105" s="28">
        <f t="shared" si="70"/>
        <v>16866.666666666668</v>
      </c>
      <c r="V105" s="28">
        <f t="shared" si="71"/>
        <v>25300.000000000004</v>
      </c>
      <c r="W105" s="28"/>
      <c r="X105" s="28"/>
      <c r="Y105" s="28">
        <f t="shared" si="72"/>
        <v>200</v>
      </c>
      <c r="Z105" s="46"/>
      <c r="AA105" s="46"/>
      <c r="AB105" s="28">
        <f t="shared" si="73"/>
        <v>45800</v>
      </c>
      <c r="AC105" s="28">
        <f t="shared" si="74"/>
        <v>0</v>
      </c>
      <c r="AD105" s="28">
        <f t="shared" si="75"/>
        <v>0</v>
      </c>
      <c r="AE105" s="47"/>
      <c r="AF105" s="32">
        <f>AB105</f>
        <v>45800</v>
      </c>
      <c r="AG105" s="31">
        <v>44470</v>
      </c>
    </row>
    <row r="106" spans="1:33" ht="20.100000000000001" customHeight="1" x14ac:dyDescent="0.2">
      <c r="A106" s="47">
        <f t="shared" si="63"/>
        <v>82</v>
      </c>
      <c r="B106" s="47">
        <v>5005</v>
      </c>
      <c r="C106" s="47" t="s">
        <v>34</v>
      </c>
      <c r="D106" s="47">
        <v>31</v>
      </c>
      <c r="E106" s="33" t="s">
        <v>119</v>
      </c>
      <c r="F106" s="24">
        <v>22</v>
      </c>
      <c r="G106" s="24">
        <v>2</v>
      </c>
      <c r="H106" s="25">
        <f t="shared" si="60"/>
        <v>24</v>
      </c>
      <c r="I106" s="26">
        <v>0</v>
      </c>
      <c r="J106" s="24">
        <v>0</v>
      </c>
      <c r="K106" s="25">
        <f t="shared" si="61"/>
        <v>-4</v>
      </c>
      <c r="L106" s="24">
        <f t="shared" si="62"/>
        <v>0</v>
      </c>
      <c r="M106" s="24">
        <v>0</v>
      </c>
      <c r="N106" s="27">
        <f>31500+15000</f>
        <v>46500</v>
      </c>
      <c r="O106" s="28">
        <f t="shared" si="64"/>
        <v>42625</v>
      </c>
      <c r="P106" s="28">
        <f t="shared" si="65"/>
        <v>3875</v>
      </c>
      <c r="Q106" s="28">
        <f t="shared" si="66"/>
        <v>1937.5</v>
      </c>
      <c r="R106" s="29">
        <f t="shared" si="67"/>
        <v>46500</v>
      </c>
      <c r="S106" s="28">
        <f t="shared" si="68"/>
        <v>21312.5</v>
      </c>
      <c r="T106" s="28">
        <f t="shared" si="69"/>
        <v>4262.5</v>
      </c>
      <c r="U106" s="28">
        <f t="shared" si="70"/>
        <v>17050</v>
      </c>
      <c r="V106" s="28">
        <f t="shared" si="71"/>
        <v>25575</v>
      </c>
      <c r="W106" s="28"/>
      <c r="X106" s="28"/>
      <c r="Y106" s="28">
        <f t="shared" si="72"/>
        <v>200</v>
      </c>
      <c r="Z106" s="46"/>
      <c r="AA106" s="46"/>
      <c r="AB106" s="28">
        <f t="shared" si="73"/>
        <v>46300</v>
      </c>
      <c r="AC106" s="28">
        <f t="shared" si="74"/>
        <v>0</v>
      </c>
      <c r="AD106" s="28">
        <f t="shared" si="75"/>
        <v>0</v>
      </c>
      <c r="AE106" s="47"/>
      <c r="AF106" s="47"/>
      <c r="AG106" s="31">
        <v>34731</v>
      </c>
    </row>
    <row r="107" spans="1:33" ht="20.100000000000001" customHeight="1" x14ac:dyDescent="0.2">
      <c r="A107" s="47">
        <f t="shared" si="63"/>
        <v>83</v>
      </c>
      <c r="B107" s="47">
        <v>5006</v>
      </c>
      <c r="C107" s="47" t="s">
        <v>34</v>
      </c>
      <c r="D107" s="47" t="s">
        <v>89</v>
      </c>
      <c r="E107" s="33" t="s">
        <v>120</v>
      </c>
      <c r="F107" s="24">
        <v>24</v>
      </c>
      <c r="G107" s="24">
        <v>0</v>
      </c>
      <c r="H107" s="25">
        <f t="shared" si="60"/>
        <v>24</v>
      </c>
      <c r="I107" s="26">
        <v>0</v>
      </c>
      <c r="J107" s="24">
        <v>0</v>
      </c>
      <c r="K107" s="25">
        <f t="shared" si="61"/>
        <v>-4</v>
      </c>
      <c r="L107" s="24">
        <f t="shared" si="62"/>
        <v>0</v>
      </c>
      <c r="M107" s="24">
        <v>0</v>
      </c>
      <c r="N107" s="27">
        <v>220000</v>
      </c>
      <c r="O107" s="28">
        <f t="shared" si="64"/>
        <v>220000</v>
      </c>
      <c r="P107" s="28">
        <f t="shared" si="65"/>
        <v>0</v>
      </c>
      <c r="Q107" s="28">
        <f t="shared" si="66"/>
        <v>9166.6666666666661</v>
      </c>
      <c r="R107" s="29">
        <f t="shared" si="67"/>
        <v>220000</v>
      </c>
      <c r="S107" s="28">
        <f t="shared" si="68"/>
        <v>110000</v>
      </c>
      <c r="T107" s="28">
        <f t="shared" si="69"/>
        <v>22000</v>
      </c>
      <c r="U107" s="28">
        <f t="shared" si="70"/>
        <v>88000</v>
      </c>
      <c r="V107" s="28">
        <f t="shared" si="71"/>
        <v>132000</v>
      </c>
      <c r="W107" s="28"/>
      <c r="X107" s="28"/>
      <c r="Y107" s="28">
        <f t="shared" si="72"/>
        <v>200</v>
      </c>
      <c r="Z107" s="46"/>
      <c r="AA107" s="32">
        <v>50000</v>
      </c>
      <c r="AB107" s="28">
        <f t="shared" si="73"/>
        <v>169800</v>
      </c>
      <c r="AC107" s="28">
        <f t="shared" si="74"/>
        <v>0</v>
      </c>
      <c r="AD107" s="28">
        <f t="shared" si="75"/>
        <v>0</v>
      </c>
      <c r="AE107" s="47"/>
      <c r="AF107" s="47"/>
      <c r="AG107" s="31">
        <v>40634</v>
      </c>
    </row>
    <row r="108" spans="1:33" ht="20.100000000000001" customHeight="1" x14ac:dyDescent="0.2">
      <c r="A108" s="47">
        <f t="shared" si="63"/>
        <v>84</v>
      </c>
      <c r="B108" s="47">
        <v>5007</v>
      </c>
      <c r="C108" s="47" t="s">
        <v>34</v>
      </c>
      <c r="D108" s="47" t="s">
        <v>89</v>
      </c>
      <c r="E108" s="33" t="s">
        <v>121</v>
      </c>
      <c r="F108" s="24">
        <v>24</v>
      </c>
      <c r="G108" s="24">
        <v>0</v>
      </c>
      <c r="H108" s="25">
        <f t="shared" si="60"/>
        <v>24</v>
      </c>
      <c r="I108" s="26">
        <v>0</v>
      </c>
      <c r="J108" s="24">
        <v>0</v>
      </c>
      <c r="K108" s="25">
        <f t="shared" si="61"/>
        <v>-4</v>
      </c>
      <c r="L108" s="24">
        <f t="shared" si="62"/>
        <v>0</v>
      </c>
      <c r="M108" s="24">
        <v>0</v>
      </c>
      <c r="N108" s="27">
        <v>220000</v>
      </c>
      <c r="O108" s="28">
        <f t="shared" si="64"/>
        <v>220000</v>
      </c>
      <c r="P108" s="28">
        <f t="shared" si="65"/>
        <v>0</v>
      </c>
      <c r="Q108" s="28">
        <f t="shared" si="66"/>
        <v>9166.6666666666661</v>
      </c>
      <c r="R108" s="29">
        <f t="shared" si="67"/>
        <v>220000</v>
      </c>
      <c r="S108" s="28">
        <f t="shared" si="68"/>
        <v>110000</v>
      </c>
      <c r="T108" s="28">
        <f t="shared" si="69"/>
        <v>22000</v>
      </c>
      <c r="U108" s="28">
        <f t="shared" si="70"/>
        <v>88000</v>
      </c>
      <c r="V108" s="28">
        <f t="shared" si="71"/>
        <v>132000</v>
      </c>
      <c r="W108" s="28"/>
      <c r="X108" s="28"/>
      <c r="Y108" s="28">
        <f t="shared" si="72"/>
        <v>200</v>
      </c>
      <c r="Z108" s="46"/>
      <c r="AA108" s="32">
        <v>50000</v>
      </c>
      <c r="AB108" s="28">
        <f t="shared" si="73"/>
        <v>169800</v>
      </c>
      <c r="AC108" s="28">
        <f t="shared" si="74"/>
        <v>0</v>
      </c>
      <c r="AD108" s="28">
        <f t="shared" si="75"/>
        <v>0</v>
      </c>
      <c r="AE108" s="47"/>
      <c r="AF108" s="47"/>
      <c r="AG108" s="31">
        <v>42064</v>
      </c>
    </row>
    <row r="109" spans="1:33" ht="20.100000000000001" customHeight="1" x14ac:dyDescent="0.2">
      <c r="A109" s="47"/>
      <c r="B109" s="47"/>
      <c r="C109" s="47"/>
      <c r="D109" s="47"/>
      <c r="E109" s="33"/>
      <c r="F109" s="24"/>
      <c r="G109" s="24"/>
      <c r="H109" s="25"/>
      <c r="I109" s="26"/>
      <c r="J109" s="24"/>
      <c r="K109" s="25"/>
      <c r="L109" s="24"/>
      <c r="M109" s="24"/>
      <c r="N109" s="27"/>
      <c r="O109" s="28">
        <f t="shared" si="64"/>
        <v>0</v>
      </c>
      <c r="P109" s="28">
        <f t="shared" si="65"/>
        <v>0</v>
      </c>
      <c r="Q109" s="28">
        <f t="shared" si="66"/>
        <v>0</v>
      </c>
      <c r="R109" s="29">
        <f t="shared" si="67"/>
        <v>0</v>
      </c>
      <c r="S109" s="28">
        <f t="shared" si="68"/>
        <v>0</v>
      </c>
      <c r="T109" s="28">
        <f t="shared" si="69"/>
        <v>0</v>
      </c>
      <c r="U109" s="28">
        <f t="shared" si="70"/>
        <v>0</v>
      </c>
      <c r="V109" s="28">
        <f t="shared" si="71"/>
        <v>0</v>
      </c>
      <c r="W109" s="28"/>
      <c r="X109" s="28"/>
      <c r="Y109" s="28">
        <f t="shared" si="72"/>
        <v>0</v>
      </c>
      <c r="Z109" s="46"/>
      <c r="AA109" s="46"/>
      <c r="AB109" s="28">
        <f t="shared" si="73"/>
        <v>0</v>
      </c>
      <c r="AC109" s="28">
        <f t="shared" si="74"/>
        <v>0</v>
      </c>
      <c r="AD109" s="28">
        <f t="shared" si="75"/>
        <v>0</v>
      </c>
      <c r="AE109" s="47"/>
      <c r="AF109" s="47"/>
      <c r="AG109" s="31"/>
    </row>
    <row r="110" spans="1:33" ht="20.100000000000001" customHeight="1" x14ac:dyDescent="0.2">
      <c r="A110" s="47"/>
      <c r="B110" s="47"/>
      <c r="C110" s="47"/>
      <c r="D110" s="47"/>
      <c r="E110" s="10"/>
      <c r="F110" s="41"/>
      <c r="G110" s="41"/>
      <c r="H110" s="26"/>
      <c r="I110" s="26"/>
      <c r="J110" s="24"/>
      <c r="K110" s="25"/>
      <c r="L110" s="24"/>
      <c r="M110" s="24"/>
      <c r="N110" s="47"/>
      <c r="O110" s="28">
        <f t="shared" si="64"/>
        <v>0</v>
      </c>
      <c r="P110" s="28">
        <f t="shared" si="65"/>
        <v>0</v>
      </c>
      <c r="Q110" s="28">
        <f t="shared" si="66"/>
        <v>0</v>
      </c>
      <c r="R110" s="29">
        <f t="shared" si="67"/>
        <v>0</v>
      </c>
      <c r="S110" s="28">
        <f t="shared" si="68"/>
        <v>0</v>
      </c>
      <c r="T110" s="28">
        <f t="shared" si="69"/>
        <v>0</v>
      </c>
      <c r="U110" s="28">
        <f t="shared" si="70"/>
        <v>0</v>
      </c>
      <c r="V110" s="28">
        <f t="shared" si="71"/>
        <v>0</v>
      </c>
      <c r="W110" s="28"/>
      <c r="X110" s="28"/>
      <c r="Y110" s="28">
        <f t="shared" si="72"/>
        <v>0</v>
      </c>
      <c r="Z110" s="46"/>
      <c r="AA110" s="46"/>
      <c r="AB110" s="28">
        <f t="shared" si="73"/>
        <v>0</v>
      </c>
      <c r="AC110" s="28">
        <f t="shared" si="74"/>
        <v>0</v>
      </c>
      <c r="AD110" s="28">
        <f t="shared" si="75"/>
        <v>0</v>
      </c>
      <c r="AE110" s="47"/>
      <c r="AF110" s="41"/>
      <c r="AG110" s="15"/>
    </row>
    <row r="111" spans="1:33" ht="20.100000000000001" customHeight="1" x14ac:dyDescent="0.2">
      <c r="A111" s="47"/>
      <c r="B111" s="47"/>
      <c r="C111" s="47"/>
      <c r="D111" s="47"/>
      <c r="E111" s="10"/>
      <c r="F111" s="41"/>
      <c r="G111" s="41"/>
      <c r="H111" s="26"/>
      <c r="I111" s="26"/>
      <c r="J111" s="24"/>
      <c r="K111" s="25"/>
      <c r="L111" s="24"/>
      <c r="M111" s="24"/>
      <c r="N111" s="47"/>
      <c r="O111" s="28">
        <f t="shared" si="64"/>
        <v>0</v>
      </c>
      <c r="P111" s="28">
        <f t="shared" si="65"/>
        <v>0</v>
      </c>
      <c r="Q111" s="28">
        <f t="shared" si="66"/>
        <v>0</v>
      </c>
      <c r="R111" s="29">
        <f t="shared" si="67"/>
        <v>0</v>
      </c>
      <c r="S111" s="28">
        <f t="shared" si="68"/>
        <v>0</v>
      </c>
      <c r="T111" s="28">
        <f t="shared" si="69"/>
        <v>0</v>
      </c>
      <c r="U111" s="28">
        <f t="shared" si="70"/>
        <v>0</v>
      </c>
      <c r="V111" s="28">
        <f t="shared" si="71"/>
        <v>0</v>
      </c>
      <c r="W111" s="28"/>
      <c r="X111" s="28"/>
      <c r="Y111" s="28">
        <f t="shared" si="72"/>
        <v>0</v>
      </c>
      <c r="Z111" s="46"/>
      <c r="AA111" s="46"/>
      <c r="AB111" s="28">
        <f t="shared" si="73"/>
        <v>0</v>
      </c>
      <c r="AC111" s="28">
        <f t="shared" si="74"/>
        <v>0</v>
      </c>
      <c r="AD111" s="28">
        <f t="shared" si="75"/>
        <v>0</v>
      </c>
      <c r="AE111" s="47"/>
      <c r="AF111" s="41"/>
      <c r="AG111" s="15"/>
    </row>
    <row r="112" spans="1:33" ht="20.100000000000001" customHeight="1" x14ac:dyDescent="0.2">
      <c r="A112" s="47"/>
      <c r="B112" s="47"/>
      <c r="C112" s="47"/>
      <c r="D112" s="47"/>
      <c r="E112" s="10"/>
      <c r="F112" s="10"/>
      <c r="G112" s="10"/>
      <c r="H112" s="26"/>
      <c r="I112" s="26"/>
      <c r="J112" s="24"/>
      <c r="K112" s="25"/>
      <c r="L112" s="24"/>
      <c r="M112" s="24"/>
      <c r="N112" s="47"/>
      <c r="O112" s="28">
        <f t="shared" si="64"/>
        <v>0</v>
      </c>
      <c r="P112" s="28">
        <f t="shared" si="65"/>
        <v>0</v>
      </c>
      <c r="Q112" s="28">
        <f t="shared" si="66"/>
        <v>0</v>
      </c>
      <c r="R112" s="29">
        <f t="shared" si="67"/>
        <v>0</v>
      </c>
      <c r="S112" s="28">
        <f t="shared" si="68"/>
        <v>0</v>
      </c>
      <c r="T112" s="28">
        <f t="shared" si="69"/>
        <v>0</v>
      </c>
      <c r="U112" s="28">
        <f t="shared" si="70"/>
        <v>0</v>
      </c>
      <c r="V112" s="28">
        <f t="shared" si="71"/>
        <v>0</v>
      </c>
      <c r="W112" s="28"/>
      <c r="X112" s="28"/>
      <c r="Y112" s="28">
        <f t="shared" si="72"/>
        <v>0</v>
      </c>
      <c r="Z112" s="46"/>
      <c r="AA112" s="46"/>
      <c r="AB112" s="28">
        <f t="shared" si="73"/>
        <v>0</v>
      </c>
      <c r="AC112" s="28">
        <f t="shared" si="74"/>
        <v>0</v>
      </c>
      <c r="AD112" s="28">
        <f t="shared" si="75"/>
        <v>0</v>
      </c>
      <c r="AE112" s="47"/>
      <c r="AF112" s="10"/>
      <c r="AG112" s="15"/>
    </row>
    <row r="113" spans="1:35" ht="20.100000000000001" customHeight="1" x14ac:dyDescent="0.2">
      <c r="A113" s="47"/>
      <c r="B113" s="47"/>
      <c r="C113" s="47"/>
      <c r="D113" s="47"/>
      <c r="E113" s="10"/>
      <c r="F113" s="10"/>
      <c r="G113" s="10"/>
      <c r="H113" s="26"/>
      <c r="I113" s="26"/>
      <c r="J113" s="24"/>
      <c r="K113" s="25"/>
      <c r="L113" s="24"/>
      <c r="M113" s="24"/>
      <c r="N113" s="47"/>
      <c r="O113" s="28">
        <f t="shared" si="64"/>
        <v>0</v>
      </c>
      <c r="P113" s="28">
        <f t="shared" si="65"/>
        <v>0</v>
      </c>
      <c r="Q113" s="28">
        <f t="shared" si="66"/>
        <v>0</v>
      </c>
      <c r="R113" s="29">
        <f t="shared" si="67"/>
        <v>0</v>
      </c>
      <c r="S113" s="28">
        <f t="shared" si="68"/>
        <v>0</v>
      </c>
      <c r="T113" s="28">
        <f t="shared" si="69"/>
        <v>0</v>
      </c>
      <c r="U113" s="28">
        <f t="shared" si="70"/>
        <v>0</v>
      </c>
      <c r="V113" s="28">
        <f t="shared" si="71"/>
        <v>0</v>
      </c>
      <c r="W113" s="28"/>
      <c r="X113" s="28"/>
      <c r="Y113" s="28">
        <f t="shared" si="72"/>
        <v>0</v>
      </c>
      <c r="Z113" s="46"/>
      <c r="AA113" s="46"/>
      <c r="AB113" s="28">
        <f t="shared" si="73"/>
        <v>0</v>
      </c>
      <c r="AC113" s="28">
        <f t="shared" si="74"/>
        <v>0</v>
      </c>
      <c r="AD113" s="28">
        <f t="shared" si="75"/>
        <v>0</v>
      </c>
      <c r="AE113" s="47"/>
      <c r="AF113" s="10"/>
      <c r="AG113" s="15"/>
    </row>
    <row r="114" spans="1:35" ht="20.100000000000001" customHeight="1" x14ac:dyDescent="0.2">
      <c r="A114" s="47"/>
      <c r="B114" s="47"/>
      <c r="C114" s="47"/>
      <c r="D114" s="47"/>
      <c r="E114" s="10"/>
      <c r="F114" s="10"/>
      <c r="G114" s="10"/>
      <c r="H114" s="26"/>
      <c r="I114" s="26"/>
      <c r="J114" s="24"/>
      <c r="K114" s="25"/>
      <c r="L114" s="24"/>
      <c r="M114" s="24"/>
      <c r="N114" s="47"/>
      <c r="O114" s="28">
        <f t="shared" si="64"/>
        <v>0</v>
      </c>
      <c r="P114" s="28">
        <f t="shared" si="65"/>
        <v>0</v>
      </c>
      <c r="Q114" s="28">
        <f t="shared" si="66"/>
        <v>0</v>
      </c>
      <c r="R114" s="29">
        <f t="shared" si="67"/>
        <v>0</v>
      </c>
      <c r="S114" s="28">
        <f t="shared" si="68"/>
        <v>0</v>
      </c>
      <c r="T114" s="28">
        <f t="shared" si="69"/>
        <v>0</v>
      </c>
      <c r="U114" s="28">
        <f t="shared" si="70"/>
        <v>0</v>
      </c>
      <c r="V114" s="28">
        <f t="shared" si="71"/>
        <v>0</v>
      </c>
      <c r="W114" s="28"/>
      <c r="X114" s="28"/>
      <c r="Y114" s="28">
        <f t="shared" si="72"/>
        <v>0</v>
      </c>
      <c r="Z114" s="46"/>
      <c r="AA114" s="46"/>
      <c r="AB114" s="28">
        <f t="shared" si="73"/>
        <v>0</v>
      </c>
      <c r="AC114" s="28">
        <f t="shared" si="74"/>
        <v>0</v>
      </c>
      <c r="AD114" s="28">
        <f t="shared" si="75"/>
        <v>0</v>
      </c>
      <c r="AE114" s="47"/>
      <c r="AF114" s="10"/>
      <c r="AG114" s="15"/>
    </row>
    <row r="115" spans="1:35" ht="20.100000000000001" customHeight="1" x14ac:dyDescent="0.2">
      <c r="A115" s="47"/>
      <c r="B115" s="47"/>
      <c r="C115" s="47"/>
      <c r="D115" s="47"/>
      <c r="E115" s="10"/>
      <c r="F115" s="10"/>
      <c r="G115" s="10"/>
      <c r="H115" s="26"/>
      <c r="I115" s="26"/>
      <c r="J115" s="24"/>
      <c r="K115" s="25"/>
      <c r="L115" s="24"/>
      <c r="M115" s="24"/>
      <c r="N115" s="47"/>
      <c r="O115" s="28">
        <f t="shared" si="64"/>
        <v>0</v>
      </c>
      <c r="P115" s="28">
        <f t="shared" si="65"/>
        <v>0</v>
      </c>
      <c r="Q115" s="28">
        <f t="shared" si="66"/>
        <v>0</v>
      </c>
      <c r="R115" s="29">
        <f t="shared" si="67"/>
        <v>0</v>
      </c>
      <c r="S115" s="28">
        <f t="shared" si="68"/>
        <v>0</v>
      </c>
      <c r="T115" s="28">
        <f t="shared" si="69"/>
        <v>0</v>
      </c>
      <c r="U115" s="28">
        <f t="shared" si="70"/>
        <v>0</v>
      </c>
      <c r="V115" s="28">
        <f t="shared" si="71"/>
        <v>0</v>
      </c>
      <c r="W115" s="28"/>
      <c r="X115" s="28"/>
      <c r="Y115" s="28">
        <f t="shared" si="72"/>
        <v>0</v>
      </c>
      <c r="Z115" s="46"/>
      <c r="AA115" s="46"/>
      <c r="AB115" s="28">
        <f t="shared" si="73"/>
        <v>0</v>
      </c>
      <c r="AC115" s="28">
        <f t="shared" si="74"/>
        <v>0</v>
      </c>
      <c r="AD115" s="28">
        <f t="shared" si="75"/>
        <v>0</v>
      </c>
      <c r="AE115" s="47"/>
      <c r="AF115" s="10"/>
      <c r="AG115" s="15"/>
    </row>
    <row r="116" spans="1:35" ht="20.100000000000001" customHeight="1" x14ac:dyDescent="0.2">
      <c r="A116" s="47"/>
      <c r="B116" s="47"/>
      <c r="C116" s="47"/>
      <c r="D116" s="47"/>
      <c r="E116" s="10"/>
      <c r="F116" s="10"/>
      <c r="G116" s="10"/>
      <c r="H116" s="26"/>
      <c r="I116" s="26"/>
      <c r="J116" s="24"/>
      <c r="K116" s="25"/>
      <c r="L116" s="24"/>
      <c r="M116" s="24"/>
      <c r="N116" s="47"/>
      <c r="O116" s="28">
        <f t="shared" si="64"/>
        <v>0</v>
      </c>
      <c r="P116" s="28">
        <f t="shared" si="65"/>
        <v>0</v>
      </c>
      <c r="Q116" s="28">
        <f t="shared" si="66"/>
        <v>0</v>
      </c>
      <c r="R116" s="29">
        <f t="shared" si="67"/>
        <v>0</v>
      </c>
      <c r="S116" s="28">
        <f t="shared" si="68"/>
        <v>0</v>
      </c>
      <c r="T116" s="28">
        <f t="shared" si="69"/>
        <v>0</v>
      </c>
      <c r="U116" s="28">
        <f t="shared" si="70"/>
        <v>0</v>
      </c>
      <c r="V116" s="28">
        <f t="shared" si="71"/>
        <v>0</v>
      </c>
      <c r="W116" s="28"/>
      <c r="X116" s="28"/>
      <c r="Y116" s="28">
        <f t="shared" si="72"/>
        <v>0</v>
      </c>
      <c r="Z116" s="46"/>
      <c r="AA116" s="46"/>
      <c r="AB116" s="28">
        <f t="shared" si="73"/>
        <v>0</v>
      </c>
      <c r="AC116" s="28">
        <f t="shared" si="74"/>
        <v>0</v>
      </c>
      <c r="AD116" s="28">
        <f t="shared" si="75"/>
        <v>0</v>
      </c>
      <c r="AE116" s="47"/>
      <c r="AF116" s="10"/>
      <c r="AG116" s="15"/>
    </row>
    <row r="117" spans="1:35" ht="20.100000000000001" customHeight="1" x14ac:dyDescent="0.2">
      <c r="A117" s="47"/>
      <c r="B117" s="47"/>
      <c r="C117" s="47"/>
      <c r="D117" s="47"/>
      <c r="E117" s="10"/>
      <c r="F117" s="10"/>
      <c r="G117" s="10"/>
      <c r="H117" s="26"/>
      <c r="I117" s="26"/>
      <c r="J117" s="24"/>
      <c r="K117" s="25"/>
      <c r="L117" s="24"/>
      <c r="M117" s="24"/>
      <c r="N117" s="47"/>
      <c r="O117" s="28">
        <f t="shared" si="64"/>
        <v>0</v>
      </c>
      <c r="P117" s="28">
        <f t="shared" si="65"/>
        <v>0</v>
      </c>
      <c r="Q117" s="28">
        <f t="shared" si="66"/>
        <v>0</v>
      </c>
      <c r="R117" s="29">
        <f t="shared" si="67"/>
        <v>0</v>
      </c>
      <c r="S117" s="28">
        <f t="shared" si="68"/>
        <v>0</v>
      </c>
      <c r="T117" s="28">
        <f t="shared" si="69"/>
        <v>0</v>
      </c>
      <c r="U117" s="28">
        <f t="shared" si="70"/>
        <v>0</v>
      </c>
      <c r="V117" s="28">
        <f t="shared" si="71"/>
        <v>0</v>
      </c>
      <c r="W117" s="28"/>
      <c r="X117" s="28"/>
      <c r="Y117" s="28">
        <f t="shared" si="72"/>
        <v>0</v>
      </c>
      <c r="Z117" s="46"/>
      <c r="AA117" s="46"/>
      <c r="AB117" s="28">
        <f t="shared" si="73"/>
        <v>0</v>
      </c>
      <c r="AC117" s="28">
        <f t="shared" si="74"/>
        <v>0</v>
      </c>
      <c r="AD117" s="28">
        <f t="shared" si="75"/>
        <v>0</v>
      </c>
      <c r="AE117" s="47"/>
      <c r="AF117" s="10"/>
      <c r="AG117" s="15"/>
    </row>
    <row r="118" spans="1:35" ht="20.100000000000001" customHeight="1" x14ac:dyDescent="0.2">
      <c r="A118" s="47"/>
      <c r="B118" s="47"/>
      <c r="C118" s="47"/>
      <c r="D118" s="47"/>
      <c r="E118" s="10"/>
      <c r="F118" s="10"/>
      <c r="G118" s="10"/>
      <c r="H118" s="26"/>
      <c r="I118" s="26"/>
      <c r="J118" s="24"/>
      <c r="K118" s="25"/>
      <c r="L118" s="24"/>
      <c r="M118" s="24"/>
      <c r="N118" s="47"/>
      <c r="O118" s="28">
        <f t="shared" si="64"/>
        <v>0</v>
      </c>
      <c r="P118" s="28">
        <f t="shared" si="65"/>
        <v>0</v>
      </c>
      <c r="Q118" s="28">
        <f t="shared" si="66"/>
        <v>0</v>
      </c>
      <c r="R118" s="29">
        <f t="shared" si="67"/>
        <v>0</v>
      </c>
      <c r="S118" s="28">
        <f t="shared" si="68"/>
        <v>0</v>
      </c>
      <c r="T118" s="28">
        <f t="shared" si="69"/>
        <v>0</v>
      </c>
      <c r="U118" s="28">
        <f t="shared" si="70"/>
        <v>0</v>
      </c>
      <c r="V118" s="28">
        <f t="shared" si="71"/>
        <v>0</v>
      </c>
      <c r="W118" s="28"/>
      <c r="X118" s="28"/>
      <c r="Y118" s="28">
        <f t="shared" si="72"/>
        <v>0</v>
      </c>
      <c r="Z118" s="46"/>
      <c r="AA118" s="46"/>
      <c r="AB118" s="28">
        <f t="shared" si="73"/>
        <v>0</v>
      </c>
      <c r="AC118" s="28">
        <f t="shared" si="74"/>
        <v>0</v>
      </c>
      <c r="AD118" s="28">
        <f t="shared" si="75"/>
        <v>0</v>
      </c>
      <c r="AE118" s="47"/>
      <c r="AF118" s="10"/>
      <c r="AG118" s="15"/>
    </row>
    <row r="119" spans="1:35" ht="20.100000000000001" customHeight="1" x14ac:dyDescent="0.2">
      <c r="A119" s="47"/>
      <c r="B119" s="47"/>
      <c r="C119" s="47"/>
      <c r="D119" s="47"/>
      <c r="E119" s="10"/>
      <c r="F119" s="10"/>
      <c r="G119" s="10"/>
      <c r="H119" s="26"/>
      <c r="I119" s="26"/>
      <c r="J119" s="24"/>
      <c r="K119" s="25"/>
      <c r="L119" s="24"/>
      <c r="M119" s="24"/>
      <c r="N119" s="47"/>
      <c r="O119" s="28">
        <f t="shared" si="64"/>
        <v>0</v>
      </c>
      <c r="P119" s="28">
        <f t="shared" si="65"/>
        <v>0</v>
      </c>
      <c r="Q119" s="28">
        <f t="shared" si="66"/>
        <v>0</v>
      </c>
      <c r="R119" s="29">
        <f t="shared" si="67"/>
        <v>0</v>
      </c>
      <c r="S119" s="28">
        <f t="shared" si="68"/>
        <v>0</v>
      </c>
      <c r="T119" s="28">
        <f t="shared" si="69"/>
        <v>0</v>
      </c>
      <c r="U119" s="28">
        <f t="shared" si="70"/>
        <v>0</v>
      </c>
      <c r="V119" s="28">
        <f t="shared" si="71"/>
        <v>0</v>
      </c>
      <c r="W119" s="28"/>
      <c r="X119" s="28"/>
      <c r="Y119" s="28">
        <f t="shared" si="72"/>
        <v>0</v>
      </c>
      <c r="Z119" s="46"/>
      <c r="AA119" s="46"/>
      <c r="AB119" s="28">
        <f t="shared" si="73"/>
        <v>0</v>
      </c>
      <c r="AC119" s="28">
        <f t="shared" si="74"/>
        <v>0</v>
      </c>
      <c r="AD119" s="28">
        <f t="shared" si="75"/>
        <v>0</v>
      </c>
      <c r="AE119" s="47"/>
      <c r="AF119" s="10"/>
      <c r="AG119" s="15"/>
    </row>
    <row r="120" spans="1:35" ht="20.100000000000001" customHeight="1" x14ac:dyDescent="0.2">
      <c r="A120" s="47"/>
      <c r="B120" s="47"/>
      <c r="C120" s="47"/>
      <c r="D120" s="47"/>
      <c r="E120" s="10"/>
      <c r="F120" s="10"/>
      <c r="G120" s="10"/>
      <c r="H120" s="26"/>
      <c r="I120" s="26"/>
      <c r="J120" s="24"/>
      <c r="K120" s="25"/>
      <c r="L120" s="24"/>
      <c r="M120" s="24"/>
      <c r="N120" s="47"/>
      <c r="O120" s="28">
        <f t="shared" si="64"/>
        <v>0</v>
      </c>
      <c r="P120" s="28">
        <f t="shared" si="65"/>
        <v>0</v>
      </c>
      <c r="Q120" s="28">
        <f t="shared" si="66"/>
        <v>0</v>
      </c>
      <c r="R120" s="29">
        <f t="shared" si="67"/>
        <v>0</v>
      </c>
      <c r="S120" s="28">
        <f t="shared" si="68"/>
        <v>0</v>
      </c>
      <c r="T120" s="28">
        <f t="shared" si="69"/>
        <v>0</v>
      </c>
      <c r="U120" s="28">
        <f t="shared" si="70"/>
        <v>0</v>
      </c>
      <c r="V120" s="28">
        <f t="shared" si="71"/>
        <v>0</v>
      </c>
      <c r="W120" s="28"/>
      <c r="X120" s="28"/>
      <c r="Y120" s="28">
        <f t="shared" si="72"/>
        <v>0</v>
      </c>
      <c r="Z120" s="46"/>
      <c r="AA120" s="46"/>
      <c r="AB120" s="28">
        <f t="shared" si="73"/>
        <v>0</v>
      </c>
      <c r="AC120" s="28">
        <f t="shared" si="74"/>
        <v>0</v>
      </c>
      <c r="AD120" s="28">
        <f t="shared" si="75"/>
        <v>0</v>
      </c>
      <c r="AE120" s="47"/>
      <c r="AF120" s="10"/>
      <c r="AG120" s="15"/>
    </row>
    <row r="121" spans="1:35" ht="20.100000000000001" customHeight="1" x14ac:dyDescent="0.2">
      <c r="A121" s="47"/>
      <c r="B121" s="47"/>
      <c r="C121" s="47"/>
      <c r="D121" s="47"/>
      <c r="E121" s="10"/>
      <c r="F121" s="10"/>
      <c r="G121" s="10"/>
      <c r="H121" s="26"/>
      <c r="I121" s="26"/>
      <c r="J121" s="24"/>
      <c r="K121" s="25"/>
      <c r="L121" s="24"/>
      <c r="M121" s="24"/>
      <c r="N121" s="47"/>
      <c r="O121" s="28">
        <f t="shared" si="64"/>
        <v>0</v>
      </c>
      <c r="P121" s="28">
        <f t="shared" si="65"/>
        <v>0</v>
      </c>
      <c r="Q121" s="28">
        <f t="shared" si="66"/>
        <v>0</v>
      </c>
      <c r="R121" s="29">
        <f t="shared" si="67"/>
        <v>0</v>
      </c>
      <c r="S121" s="28">
        <f t="shared" si="68"/>
        <v>0</v>
      </c>
      <c r="T121" s="28">
        <f t="shared" si="69"/>
        <v>0</v>
      </c>
      <c r="U121" s="28">
        <f t="shared" si="70"/>
        <v>0</v>
      </c>
      <c r="V121" s="28">
        <f t="shared" si="71"/>
        <v>0</v>
      </c>
      <c r="W121" s="28"/>
      <c r="X121" s="28"/>
      <c r="Y121" s="28">
        <f t="shared" si="72"/>
        <v>0</v>
      </c>
      <c r="Z121" s="46"/>
      <c r="AA121" s="46"/>
      <c r="AB121" s="28">
        <f t="shared" si="73"/>
        <v>0</v>
      </c>
      <c r="AC121" s="28">
        <f t="shared" si="74"/>
        <v>0</v>
      </c>
      <c r="AD121" s="28">
        <f t="shared" si="75"/>
        <v>0</v>
      </c>
      <c r="AE121" s="47"/>
      <c r="AF121" s="10"/>
      <c r="AG121" s="15"/>
    </row>
    <row r="122" spans="1:35" ht="20.100000000000001" customHeight="1" x14ac:dyDescent="0.2">
      <c r="A122" s="47"/>
      <c r="B122" s="47"/>
      <c r="C122" s="47"/>
      <c r="D122" s="47"/>
      <c r="E122" s="10"/>
      <c r="F122" s="10"/>
      <c r="G122" s="10"/>
      <c r="H122" s="26"/>
      <c r="I122" s="26"/>
      <c r="J122" s="24"/>
      <c r="K122" s="25"/>
      <c r="L122" s="24"/>
      <c r="M122" s="24"/>
      <c r="N122" s="47"/>
      <c r="O122" s="28">
        <f t="shared" si="64"/>
        <v>0</v>
      </c>
      <c r="P122" s="28">
        <f t="shared" si="65"/>
        <v>0</v>
      </c>
      <c r="Q122" s="28">
        <f t="shared" si="66"/>
        <v>0</v>
      </c>
      <c r="R122" s="29">
        <f t="shared" si="67"/>
        <v>0</v>
      </c>
      <c r="S122" s="28">
        <f t="shared" si="68"/>
        <v>0</v>
      </c>
      <c r="T122" s="28">
        <f t="shared" si="69"/>
        <v>0</v>
      </c>
      <c r="U122" s="28">
        <f t="shared" si="70"/>
        <v>0</v>
      </c>
      <c r="V122" s="28">
        <f t="shared" si="71"/>
        <v>0</v>
      </c>
      <c r="W122" s="28"/>
      <c r="X122" s="28"/>
      <c r="Y122" s="28">
        <f t="shared" si="72"/>
        <v>0</v>
      </c>
      <c r="Z122" s="46"/>
      <c r="AA122" s="46"/>
      <c r="AB122" s="28">
        <f t="shared" si="73"/>
        <v>0</v>
      </c>
      <c r="AC122" s="28">
        <f t="shared" si="74"/>
        <v>0</v>
      </c>
      <c r="AD122" s="28">
        <f t="shared" si="75"/>
        <v>0</v>
      </c>
      <c r="AE122" s="47"/>
      <c r="AF122" s="10"/>
      <c r="AG122" s="15"/>
    </row>
    <row r="123" spans="1:35" ht="20.100000000000001" customHeight="1" x14ac:dyDescent="0.2">
      <c r="A123" s="47"/>
      <c r="B123" s="47"/>
      <c r="C123" s="47"/>
      <c r="D123" s="47"/>
      <c r="E123" s="10"/>
      <c r="F123" s="10"/>
      <c r="G123" s="10"/>
      <c r="H123" s="26"/>
      <c r="I123" s="26"/>
      <c r="J123" s="24"/>
      <c r="K123" s="25"/>
      <c r="L123" s="24"/>
      <c r="M123" s="24"/>
      <c r="N123" s="47"/>
      <c r="O123" s="28">
        <f t="shared" si="64"/>
        <v>0</v>
      </c>
      <c r="P123" s="28">
        <f t="shared" si="65"/>
        <v>0</v>
      </c>
      <c r="Q123" s="28">
        <f t="shared" si="66"/>
        <v>0</v>
      </c>
      <c r="R123" s="29">
        <f t="shared" si="67"/>
        <v>0</v>
      </c>
      <c r="S123" s="28">
        <f t="shared" si="68"/>
        <v>0</v>
      </c>
      <c r="T123" s="28">
        <f t="shared" si="69"/>
        <v>0</v>
      </c>
      <c r="U123" s="28">
        <f t="shared" si="70"/>
        <v>0</v>
      </c>
      <c r="V123" s="28">
        <f t="shared" si="71"/>
        <v>0</v>
      </c>
      <c r="W123" s="28"/>
      <c r="X123" s="28"/>
      <c r="Y123" s="28">
        <f t="shared" si="72"/>
        <v>0</v>
      </c>
      <c r="Z123" s="46"/>
      <c r="AA123" s="46"/>
      <c r="AB123" s="28">
        <f t="shared" si="73"/>
        <v>0</v>
      </c>
      <c r="AC123" s="28">
        <f t="shared" si="74"/>
        <v>0</v>
      </c>
      <c r="AD123" s="28">
        <f t="shared" si="75"/>
        <v>0</v>
      </c>
      <c r="AE123" s="47"/>
      <c r="AF123" s="10"/>
      <c r="AG123" s="15"/>
    </row>
    <row r="124" spans="1:35" ht="20.100000000000001" customHeight="1" x14ac:dyDescent="0.2">
      <c r="A124" s="47"/>
      <c r="B124" s="47"/>
      <c r="C124" s="47"/>
      <c r="D124" s="47"/>
      <c r="E124" s="10"/>
      <c r="F124" s="10"/>
      <c r="G124" s="10"/>
      <c r="H124" s="26"/>
      <c r="I124" s="26"/>
      <c r="J124" s="24"/>
      <c r="K124" s="25"/>
      <c r="L124" s="24"/>
      <c r="M124" s="24"/>
      <c r="N124" s="47"/>
      <c r="O124" s="28">
        <f t="shared" si="64"/>
        <v>0</v>
      </c>
      <c r="P124" s="28">
        <f t="shared" si="65"/>
        <v>0</v>
      </c>
      <c r="Q124" s="28">
        <f t="shared" si="66"/>
        <v>0</v>
      </c>
      <c r="R124" s="29">
        <f t="shared" si="67"/>
        <v>0</v>
      </c>
      <c r="S124" s="28">
        <f t="shared" si="68"/>
        <v>0</v>
      </c>
      <c r="T124" s="28">
        <f t="shared" si="69"/>
        <v>0</v>
      </c>
      <c r="U124" s="28">
        <f t="shared" si="70"/>
        <v>0</v>
      </c>
      <c r="V124" s="28">
        <f t="shared" si="71"/>
        <v>0</v>
      </c>
      <c r="W124" s="28"/>
      <c r="X124" s="28"/>
      <c r="Y124" s="28">
        <f t="shared" si="72"/>
        <v>0</v>
      </c>
      <c r="Z124" s="46"/>
      <c r="AA124" s="46"/>
      <c r="AB124" s="28">
        <f t="shared" si="73"/>
        <v>0</v>
      </c>
      <c r="AC124" s="28">
        <f t="shared" si="74"/>
        <v>0</v>
      </c>
      <c r="AD124" s="28">
        <f t="shared" si="75"/>
        <v>0</v>
      </c>
      <c r="AE124" s="47"/>
      <c r="AF124" s="10"/>
      <c r="AG124" s="15"/>
    </row>
    <row r="125" spans="1:35" ht="20.100000000000001" customHeight="1" x14ac:dyDescent="0.2">
      <c r="A125" s="47"/>
      <c r="B125" s="47"/>
      <c r="C125" s="47"/>
      <c r="D125" s="47"/>
      <c r="E125" s="10"/>
      <c r="F125" s="10"/>
      <c r="G125" s="10"/>
      <c r="H125" s="26"/>
      <c r="I125" s="26"/>
      <c r="J125" s="24"/>
      <c r="K125" s="25"/>
      <c r="L125" s="24"/>
      <c r="M125" s="24"/>
      <c r="N125" s="47"/>
      <c r="O125" s="28">
        <f t="shared" si="64"/>
        <v>0</v>
      </c>
      <c r="P125" s="28">
        <f t="shared" si="65"/>
        <v>0</v>
      </c>
      <c r="Q125" s="28">
        <f t="shared" si="66"/>
        <v>0</v>
      </c>
      <c r="R125" s="29">
        <f t="shared" si="67"/>
        <v>0</v>
      </c>
      <c r="S125" s="28">
        <f t="shared" si="68"/>
        <v>0</v>
      </c>
      <c r="T125" s="28">
        <f t="shared" si="69"/>
        <v>0</v>
      </c>
      <c r="U125" s="28">
        <f t="shared" si="70"/>
        <v>0</v>
      </c>
      <c r="V125" s="28">
        <f t="shared" si="71"/>
        <v>0</v>
      </c>
      <c r="W125" s="28"/>
      <c r="X125" s="28"/>
      <c r="Y125" s="28">
        <f t="shared" si="72"/>
        <v>0</v>
      </c>
      <c r="Z125" s="46"/>
      <c r="AA125" s="46"/>
      <c r="AB125" s="28">
        <f t="shared" si="73"/>
        <v>0</v>
      </c>
      <c r="AC125" s="28">
        <f t="shared" si="74"/>
        <v>0</v>
      </c>
      <c r="AD125" s="28">
        <f t="shared" si="75"/>
        <v>0</v>
      </c>
      <c r="AE125" s="47"/>
      <c r="AF125" s="10"/>
      <c r="AG125" s="15"/>
    </row>
    <row r="126" spans="1:35" ht="20.100000000000001" customHeight="1" x14ac:dyDescent="0.2">
      <c r="A126" s="46"/>
      <c r="B126" s="47"/>
      <c r="C126" s="47"/>
      <c r="D126" s="47"/>
      <c r="E126" s="10"/>
      <c r="F126" s="10"/>
      <c r="G126" s="10"/>
      <c r="H126" s="26"/>
      <c r="I126" s="26"/>
      <c r="J126" s="24"/>
      <c r="K126" s="25"/>
      <c r="L126" s="24"/>
      <c r="M126" s="24"/>
      <c r="N126" s="47"/>
      <c r="O126" s="28">
        <f t="shared" si="64"/>
        <v>0</v>
      </c>
      <c r="P126" s="28">
        <f t="shared" si="65"/>
        <v>0</v>
      </c>
      <c r="Q126" s="28">
        <f t="shared" si="66"/>
        <v>0</v>
      </c>
      <c r="R126" s="29">
        <f t="shared" si="67"/>
        <v>0</v>
      </c>
      <c r="S126" s="28">
        <f t="shared" si="68"/>
        <v>0</v>
      </c>
      <c r="T126" s="28">
        <f t="shared" si="69"/>
        <v>0</v>
      </c>
      <c r="U126" s="28">
        <f t="shared" si="70"/>
        <v>0</v>
      </c>
      <c r="V126" s="28">
        <f t="shared" si="71"/>
        <v>0</v>
      </c>
      <c r="W126" s="28"/>
      <c r="X126" s="28"/>
      <c r="Y126" s="28">
        <f t="shared" si="72"/>
        <v>0</v>
      </c>
      <c r="Z126" s="46"/>
      <c r="AA126" s="46"/>
      <c r="AB126" s="28">
        <f t="shared" si="73"/>
        <v>0</v>
      </c>
      <c r="AC126" s="28">
        <f t="shared" si="74"/>
        <v>0</v>
      </c>
      <c r="AD126" s="28">
        <f t="shared" si="75"/>
        <v>0</v>
      </c>
      <c r="AE126" s="47"/>
      <c r="AF126" s="10"/>
      <c r="AG126" s="15"/>
    </row>
    <row r="127" spans="1:35" s="39" customFormat="1" ht="20.100000000000001" customHeight="1" x14ac:dyDescent="0.2">
      <c r="A127" s="48" t="s">
        <v>122</v>
      </c>
      <c r="B127" s="48"/>
      <c r="C127" s="48"/>
      <c r="D127" s="48"/>
      <c r="E127" s="34"/>
      <c r="F127" s="34"/>
      <c r="G127" s="34"/>
      <c r="H127" s="35"/>
      <c r="I127" s="26"/>
      <c r="J127" s="24"/>
      <c r="K127" s="25"/>
      <c r="L127" s="24"/>
      <c r="M127" s="24"/>
      <c r="N127" s="36">
        <f>SUM(N103:N126)</f>
        <v>630500</v>
      </c>
      <c r="O127" s="36">
        <f t="shared" ref="O127:AF127" si="76">SUM(O103:O126)</f>
        <v>598875</v>
      </c>
      <c r="P127" s="37">
        <f t="shared" si="76"/>
        <v>11125</v>
      </c>
      <c r="Q127" s="37">
        <f t="shared" si="76"/>
        <v>26270.833333333328</v>
      </c>
      <c r="R127" s="36">
        <f t="shared" si="76"/>
        <v>610000</v>
      </c>
      <c r="S127" s="37">
        <f t="shared" si="76"/>
        <v>299437.5</v>
      </c>
      <c r="T127" s="37">
        <f t="shared" si="76"/>
        <v>59887.5</v>
      </c>
      <c r="U127" s="37">
        <f t="shared" si="76"/>
        <v>239550</v>
      </c>
      <c r="V127" s="37">
        <f t="shared" si="76"/>
        <v>359325</v>
      </c>
      <c r="W127" s="36">
        <f t="shared" si="76"/>
        <v>0</v>
      </c>
      <c r="X127" s="36">
        <f t="shared" si="76"/>
        <v>0</v>
      </c>
      <c r="Y127" s="36">
        <f t="shared" si="76"/>
        <v>1200</v>
      </c>
      <c r="Z127" s="37">
        <f t="shared" si="76"/>
        <v>10000</v>
      </c>
      <c r="AA127" s="37">
        <f t="shared" si="76"/>
        <v>100000</v>
      </c>
      <c r="AB127" s="36">
        <f t="shared" si="76"/>
        <v>498800</v>
      </c>
      <c r="AC127" s="37">
        <f t="shared" si="76"/>
        <v>0</v>
      </c>
      <c r="AD127" s="36">
        <f t="shared" si="76"/>
        <v>0</v>
      </c>
      <c r="AE127" s="37">
        <f t="shared" si="76"/>
        <v>0</v>
      </c>
      <c r="AF127" s="36">
        <f t="shared" si="76"/>
        <v>56100</v>
      </c>
      <c r="AG127" s="38"/>
      <c r="AI127" s="53"/>
    </row>
    <row r="128" spans="1:35" x14ac:dyDescent="0.2">
      <c r="R128" s="43"/>
      <c r="AG128" s="44"/>
    </row>
    <row r="129" spans="18:33" x14ac:dyDescent="0.2">
      <c r="R129" s="43"/>
      <c r="AG129" s="44"/>
    </row>
    <row r="130" spans="18:33" x14ac:dyDescent="0.2">
      <c r="R130" s="43"/>
      <c r="AB130" s="45"/>
      <c r="AG130" s="44"/>
    </row>
    <row r="131" spans="18:33" x14ac:dyDescent="0.2">
      <c r="R131" s="43"/>
      <c r="AG131" s="44"/>
    </row>
    <row r="132" spans="18:33" x14ac:dyDescent="0.2">
      <c r="R132" s="43"/>
      <c r="Z132" s="45"/>
      <c r="AG132" s="44"/>
    </row>
    <row r="133" spans="18:33" x14ac:dyDescent="0.2">
      <c r="R133" s="43"/>
      <c r="AG133" s="44"/>
    </row>
    <row r="134" spans="18:33" x14ac:dyDescent="0.2">
      <c r="R134" s="43"/>
      <c r="AG134" s="44"/>
    </row>
    <row r="135" spans="18:33" x14ac:dyDescent="0.2">
      <c r="R135" s="43"/>
      <c r="AG135" s="44"/>
    </row>
    <row r="136" spans="18:33" x14ac:dyDescent="0.2">
      <c r="R136" s="43"/>
      <c r="AG136" s="44"/>
    </row>
    <row r="137" spans="18:33" x14ac:dyDescent="0.2">
      <c r="R137" s="43"/>
      <c r="AG137" s="44"/>
    </row>
    <row r="138" spans="18:33" x14ac:dyDescent="0.2">
      <c r="R138" s="43"/>
      <c r="AG138" s="44"/>
    </row>
    <row r="139" spans="18:33" x14ac:dyDescent="0.2">
      <c r="R139" s="43"/>
      <c r="AG139" s="44"/>
    </row>
    <row r="140" spans="18:33" x14ac:dyDescent="0.2">
      <c r="R140" s="43"/>
      <c r="AG140" s="44"/>
    </row>
  </sheetData>
  <mergeCells count="6">
    <mergeCell ref="A127:D127"/>
    <mergeCell ref="W2:AB2"/>
    <mergeCell ref="AC2:AF2"/>
    <mergeCell ref="A36:D36"/>
    <mergeCell ref="A69:D69"/>
    <mergeCell ref="A102:D102"/>
  </mergeCells>
  <pageMargins left="0.70866141732283472" right="0.70866141732283472" top="0.74803149606299213" bottom="0.74803149606299213" header="0.31496062992125984" footer="0.31496062992125984"/>
  <pageSetup paperSize="5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2026-03-03T04:27:23Z</dcterms:modified>
</cp:coreProperties>
</file>