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<sst xmlns="http://schemas.openxmlformats.org/spreadsheetml/2006/main" count="45" uniqueCount="45">
  <si>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SR.NO.</t>
  </si>
  <si>
    <t>EMP. ID</t>
  </si>
  <si>
    <t>DEPT.</t>
  </si>
  <si>
    <t>DAY</t>
  </si>
  <si>
    <t>OT</t>
  </si>
  <si>
    <t>LATE</t>
  </si>
  <si>
    <t>PF 12%</t>
  </si>
  <si>
    <t>ESIC 0.75 %</t>
  </si>
  <si>
    <t>PT</t>
  </si>
  <si>
    <t>FINAL CHEQUE</t>
  </si>
  <si>
    <t>CASH SALARY</t>
  </si>
  <si>
    <t>OT AMOUNT</t>
  </si>
  <si>
    <t>LATE AMOUNT</t>
  </si>
  <si>
    <t>FINAL PAID OT</t>
  </si>
  <si>
    <t>EXTRA ADJ.</t>
  </si>
  <si>
    <t>Loan</t>
  </si>
  <si>
    <t>REAM.</t>
  </si>
  <si>
    <t>ACT.WAG.</t>
  </si>
  <si>
    <t>SALARY ( S*T)</t>
  </si>
  <si>
    <t>ADJ. DAYS</t>
  </si>
  <si>
    <t>EXT. ADJ</t>
  </si>
  <si>
    <t>DOJ</t>
  </si>
  <si>
    <t>APPRENTICE WORKER</t>
  </si>
  <si>
    <t>APPRENTICE STAFF</t>
  </si>
  <si>
    <t>FINAL SALARY SUMMERY</t>
  </si>
  <si>
    <t>EMP. NAME</t>
  </si>
  <si>
    <t>WD SALARY</t>
  </si>
  <si>
    <t>GROSS SALARY</t>
  </si>
  <si>
    <t>ACT. DAY</t>
  </si>
  <si>
    <t>INDIANA BOYS WORKER-01</t>
  </si>
  <si>
    <t>INDIANA BOYS WORKER-02</t>
  </si>
  <si>
    <t>INDIANA BOYS WORKER-03</t>
  </si>
  <si>
    <t>INDIANA GIRLS WORKER-01</t>
  </si>
  <si>
    <t>INDIANA GIRLS WORKER-02</t>
  </si>
  <si>
    <t>INDIANA GIRLS WORKER-03</t>
  </si>
  <si>
    <t>CASH EMPLOYEE</t>
  </si>
  <si>
    <t>MISC. WORKER</t>
  </si>
  <si>
    <t>MISC. WORKER-02</t>
  </si>
  <si>
    <t>OFFICE STAFF - 01</t>
  </si>
  <si>
    <t>OFFICE STAFF - 02</t>
  </si>
  <si>
    <t>OFFICE STAFF - 03</t>
  </si>
  <si>
    <t>OFFICE STAFF - 04</t>
  </si>
  <si>
    <t xml:space="preserve">GRAND TOTAL :- </t>
  </si>
  <si>
    <t>INDIANA GIRLS WORKER-04</t>
  </si>
  <si>
    <t>SALARY FOR THE MONTH OF JANUARY-2026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</si>
</sst>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4009]dd/mm/yy;@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8"/>
      <name val="Cambria"/>
      <family val="1"/>
    </font>
    <font>
      <b/>
      <sz val="9"/>
      <name val="Cambria"/>
      <family val="1"/>
    </font>
    <font>
      <sz val="9"/>
      <name val="Cambria"/>
      <family val="1"/>
    </font>
    <font>
      <sz val="8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0" fontId="3" fillId="0" borderId="1" xfId="1" quotePrefix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0" fontId="4" fillId="0" borderId="0" xfId="1" applyFont="1"/>
    <xf numFmtId="0" fontId="6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165" fontId="3" fillId="0" borderId="1" xfId="1" applyNumberFormat="1" applyFont="1" applyBorder="1" applyAlignment="1">
      <alignment horizontal="right" vertical="center"/>
    </xf>
    <xf numFmtId="0" fontId="3" fillId="2" borderId="1" xfId="1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center"/>
    </xf>
    <xf numFmtId="0" fontId="3" fillId="0" borderId="1" xfId="1" applyFont="1" applyBorder="1"/>
    <xf numFmtId="0" fontId="3" fillId="0" borderId="1" xfId="1" applyFont="1" applyBorder="1" applyAlignment="1">
      <alignment horizontal="center"/>
    </xf>
    <xf numFmtId="0" fontId="3" fillId="0" borderId="0" xfId="1" applyFont="1" applyFill="1"/>
    <xf numFmtId="0" fontId="3" fillId="0" borderId="0" xfId="1" applyFont="1"/>
    <xf numFmtId="1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65" fontId="9" fillId="3" borderId="1" xfId="1" applyNumberFormat="1" applyFont="1" applyFill="1" applyBorder="1" applyAlignment="1">
      <alignment horizontal="center" vertical="center"/>
    </xf>
    <xf numFmtId="1" fontId="9" fillId="0" borderId="1" xfId="1" applyNumberFormat="1" applyFont="1" applyBorder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/>
    </xf>
    <xf numFmtId="164" fontId="9" fillId="0" borderId="1" xfId="1" applyNumberFormat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1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/>
    </xf>
    <xf numFmtId="164" fontId="8" fillId="0" borderId="0" xfId="1" applyNumberFormat="1" applyFont="1" applyAlignment="1">
      <alignment horizontal="center" vertical="center"/>
    </xf>
    <xf numFmtId="1" fontId="3" fillId="0" borderId="0" xfId="1" applyNumberFormat="1" applyFont="1" applyAlignment="1">
      <alignment horizontal="right" vertical="center"/>
    </xf>
    <xf numFmtId="0" fontId="4" fillId="0" borderId="5" xfId="1" applyFont="1" applyBorder="1" applyAlignment="1">
      <alignment horizontal="center"/>
    </xf>
    <xf numFmtId="164" fontId="8" fillId="0" borderId="0" xfId="1" applyNumberFormat="1" applyFont="1"/>
    <xf numFmtId="0" fontId="3" fillId="0" borderId="1" xfId="1" applyFont="1" applyBorder="1" applyAlignment="1">
      <alignment horizontal="center" vertical="center"/>
    </xf>
    <xf numFmtId="0" fontId="2" fillId="2" borderId="2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abSelected="1" topLeftCell="A10" workbookViewId="0">
      <selection activeCell="D3" sqref="D3:Z19"/>
    </sheetView>
  </sheetViews>
  <sheetFormatPr defaultRowHeight="12.75" x14ac:dyDescent="0.2"/>
  <cols>
    <col min="1" max="1" width="6.140625" style="37" bestFit="1" customWidth="1"/>
    <col min="2" max="2" width="5.28515625" style="37" bestFit="1" customWidth="1"/>
    <col min="3" max="3" width="5.7109375" style="37" customWidth="1"/>
    <col min="4" max="4" width="24.28515625" style="7" bestFit="1" customWidth="1"/>
    <col min="5" max="5" width="5" style="7" bestFit="1" customWidth="1"/>
    <col min="6" max="6" width="6" style="7" customWidth="1"/>
    <col min="7" max="7" width="5.28515625" style="7" customWidth="1"/>
    <col min="8" max="9" width="10.5703125" style="7" customWidth="1"/>
    <col min="10" max="10" width="9.42578125" style="7" customWidth="1"/>
    <col min="11" max="11" width="10.42578125" style="7" customWidth="1"/>
    <col min="12" max="12" width="8.28515625" style="7" customWidth="1"/>
    <col min="13" max="13" width="10.5703125" style="7" customWidth="1"/>
    <col min="14" max="14" width="9.42578125" style="7" customWidth="1"/>
    <col min="15" max="15" width="9.28515625" style="7" customWidth="1"/>
    <col min="16" max="16" width="8.140625" style="7" customWidth="1"/>
    <col min="17" max="17" width="9.42578125" style="7" customWidth="1"/>
    <col min="18" max="18" width="8.28515625" style="7" customWidth="1"/>
    <col min="19" max="20" width="9.42578125" style="7" customWidth="1"/>
    <col min="21" max="21" width="8.42578125" style="7" customWidth="1"/>
    <col min="22" max="22" width="9.140625" style="7" customWidth="1"/>
    <col min="23" max="23" width="10.5703125" style="7" customWidth="1"/>
    <col min="24" max="24" width="5.140625" style="40" customWidth="1"/>
    <col min="25" max="25" width="10.140625" style="7" customWidth="1"/>
    <col min="26" max="26" width="7.28515625" style="41" customWidth="1"/>
    <col min="27" max="27" width="6.7109375" style="7" bestFit="1" customWidth="1"/>
    <col min="28" max="33" width="9.140625" style="7"/>
    <col min="34" max="34" width="5" style="7" bestFit="1" customWidth="1"/>
    <col min="35" max="16384" width="9.140625" style="7"/>
  </cols>
  <sheetData>
    <row r="1" spans="1:26" ht="22.5" customHeight="1" x14ac:dyDescent="0.2">
      <c r="A1" s="43" t="s">
        <v>44</v>
      </c>
      <c r="B1" s="43"/>
      <c r="C1" s="43"/>
      <c r="D1" s="43"/>
      <c r="E1" s="43"/>
      <c r="F1" s="43"/>
      <c r="G1" s="43"/>
      <c r="H1" s="43"/>
      <c r="I1" s="44"/>
      <c r="J1" s="1"/>
      <c r="K1" s="1"/>
      <c r="L1" s="1"/>
      <c r="M1" s="1"/>
      <c r="N1" s="1"/>
      <c r="O1" s="1"/>
      <c r="P1" s="1"/>
      <c r="Q1" s="2"/>
      <c r="R1" s="45" t="s">
        <v>24</v>
      </c>
      <c r="S1" s="46"/>
      <c r="T1" s="46"/>
      <c r="U1" s="46"/>
      <c r="V1" s="47"/>
      <c r="W1" s="3"/>
      <c r="X1" s="4"/>
      <c r="Y1" s="5">
        <v>16</v>
      </c>
      <c r="Z1" s="6"/>
    </row>
    <row r="2" spans="1:26" s="13" customFormat="1" ht="25.5" x14ac:dyDescent="0.25">
      <c r="A2" s="8" t="s">
        <v>0</v>
      </c>
      <c r="B2" s="9" t="s">
        <v>1</v>
      </c>
      <c r="C2" s="9" t="s">
        <v>2</v>
      </c>
      <c r="D2" s="8" t="s">
        <v>25</v>
      </c>
      <c r="E2" s="8" t="s">
        <v>3</v>
      </c>
      <c r="F2" s="8" t="s">
        <v>4</v>
      </c>
      <c r="G2" s="8" t="s">
        <v>5</v>
      </c>
      <c r="H2" s="10" t="s">
        <v>26</v>
      </c>
      <c r="I2" s="11" t="s">
        <v>27</v>
      </c>
      <c r="J2" s="11" t="s">
        <v>6</v>
      </c>
      <c r="K2" s="11" t="s">
        <v>7</v>
      </c>
      <c r="L2" s="11" t="s">
        <v>8</v>
      </c>
      <c r="M2" s="11" t="s">
        <v>9</v>
      </c>
      <c r="N2" s="11" t="s">
        <v>10</v>
      </c>
      <c r="O2" s="8" t="s">
        <v>11</v>
      </c>
      <c r="P2" s="8" t="s">
        <v>12</v>
      </c>
      <c r="Q2" s="11" t="s">
        <v>13</v>
      </c>
      <c r="R2" s="8" t="s">
        <v>14</v>
      </c>
      <c r="S2" s="8" t="s">
        <v>15</v>
      </c>
      <c r="T2" s="11" t="s">
        <v>16</v>
      </c>
      <c r="U2" s="8" t="s">
        <v>28</v>
      </c>
      <c r="V2" s="8" t="s">
        <v>17</v>
      </c>
      <c r="W2" s="11" t="s">
        <v>18</v>
      </c>
      <c r="X2" s="8" t="s">
        <v>19</v>
      </c>
      <c r="Y2" s="11" t="s">
        <v>20</v>
      </c>
      <c r="Z2" s="12" t="s">
        <v>21</v>
      </c>
    </row>
    <row r="3" spans="1:26" ht="30" customHeight="1" x14ac:dyDescent="0.2">
      <c r="A3" s="14">
        <v>1</v>
      </c>
      <c r="B3" s="14"/>
      <c r="C3" s="14"/>
      <c r="D3" s="15" t="s">
        <v>29</v>
      </c>
      <c r="E3" s="14"/>
      <c r="F3" s="14"/>
      <c r="G3" s="14"/>
      <c r="H3" s="26"/>
      <c r="I3" s="26">
        <v>325715.75</v>
      </c>
      <c r="J3" s="26">
        <v>38020.409999999996</v>
      </c>
      <c r="K3" s="26">
        <v>2442.868125</v>
      </c>
      <c r="L3" s="26">
        <v>1800</v>
      </c>
      <c r="M3" s="26">
        <v>246001.47187499996</v>
      </c>
      <c r="N3" s="26">
        <v>0</v>
      </c>
      <c r="O3" s="27">
        <v>79021.125</v>
      </c>
      <c r="P3" s="27">
        <v>10913.625</v>
      </c>
      <c r="Q3" s="26">
        <v>68963.5</v>
      </c>
      <c r="R3" s="27">
        <v>856</v>
      </c>
      <c r="S3" s="27">
        <v>37451</v>
      </c>
      <c r="T3" s="26">
        <v>0</v>
      </c>
      <c r="U3" s="28">
        <v>0</v>
      </c>
      <c r="V3" s="28">
        <v>0</v>
      </c>
      <c r="W3" s="26">
        <v>326559.5</v>
      </c>
      <c r="X3" s="28">
        <v>0</v>
      </c>
      <c r="Y3" s="26">
        <v>-843.75</v>
      </c>
      <c r="Z3" s="29">
        <v>0</v>
      </c>
    </row>
    <row r="4" spans="1:26" ht="30" customHeight="1" x14ac:dyDescent="0.2">
      <c r="A4" s="14">
        <v>2</v>
      </c>
      <c r="B4" s="14"/>
      <c r="C4" s="14"/>
      <c r="D4" s="15" t="s">
        <v>30</v>
      </c>
      <c r="E4" s="14"/>
      <c r="F4" s="14"/>
      <c r="G4" s="14"/>
      <c r="H4" s="26"/>
      <c r="I4" s="26">
        <v>236589.75</v>
      </c>
      <c r="J4" s="26">
        <v>28390.77</v>
      </c>
      <c r="K4" s="26">
        <v>1774.423125</v>
      </c>
      <c r="L4" s="26">
        <v>0</v>
      </c>
      <c r="M4" s="26">
        <v>203424.55687499995</v>
      </c>
      <c r="N4" s="26">
        <v>0</v>
      </c>
      <c r="O4" s="27">
        <v>35880.0625</v>
      </c>
      <c r="P4" s="27">
        <v>5334.3125</v>
      </c>
      <c r="Q4" s="26">
        <v>33060.75</v>
      </c>
      <c r="R4" s="27">
        <v>2515</v>
      </c>
      <c r="S4" s="27">
        <v>3000</v>
      </c>
      <c r="T4" s="26">
        <v>0</v>
      </c>
      <c r="U4" s="28">
        <v>0</v>
      </c>
      <c r="V4" s="28">
        <v>0</v>
      </c>
      <c r="W4" s="26">
        <v>239055.5</v>
      </c>
      <c r="X4" s="28">
        <v>0</v>
      </c>
      <c r="Y4" s="26">
        <v>-2465.75</v>
      </c>
      <c r="Z4" s="29">
        <v>0</v>
      </c>
    </row>
    <row r="5" spans="1:26" ht="30" customHeight="1" x14ac:dyDescent="0.2">
      <c r="A5" s="14">
        <v>3</v>
      </c>
      <c r="B5" s="14"/>
      <c r="C5" s="14"/>
      <c r="D5" s="15" t="s">
        <v>31</v>
      </c>
      <c r="E5" s="14"/>
      <c r="F5" s="14"/>
      <c r="G5" s="14"/>
      <c r="H5" s="26"/>
      <c r="I5" s="26">
        <v>96096</v>
      </c>
      <c r="J5" s="26">
        <v>11531.52</v>
      </c>
      <c r="K5" s="26">
        <v>720.72</v>
      </c>
      <c r="L5" s="26">
        <v>0</v>
      </c>
      <c r="M5" s="26">
        <v>83843.760000000009</v>
      </c>
      <c r="N5" s="26">
        <v>0</v>
      </c>
      <c r="O5" s="27">
        <v>11385</v>
      </c>
      <c r="P5" s="27">
        <v>2267.5</v>
      </c>
      <c r="Q5" s="26">
        <v>10074.5</v>
      </c>
      <c r="R5" s="27">
        <v>957</v>
      </c>
      <c r="S5" s="27">
        <v>0</v>
      </c>
      <c r="T5" s="26">
        <v>0</v>
      </c>
      <c r="U5" s="28">
        <v>0</v>
      </c>
      <c r="V5" s="28">
        <v>0</v>
      </c>
      <c r="W5" s="26">
        <v>97037.5</v>
      </c>
      <c r="X5" s="28">
        <v>0</v>
      </c>
      <c r="Y5" s="26">
        <v>-941.5</v>
      </c>
      <c r="Z5" s="29">
        <v>0</v>
      </c>
    </row>
    <row r="6" spans="1:26" ht="30" customHeight="1" x14ac:dyDescent="0.2">
      <c r="A6" s="14">
        <v>4</v>
      </c>
      <c r="B6" s="14"/>
      <c r="C6" s="14"/>
      <c r="D6" s="15" t="s">
        <v>32</v>
      </c>
      <c r="E6" s="14"/>
      <c r="F6" s="14"/>
      <c r="G6" s="14"/>
      <c r="H6" s="26"/>
      <c r="I6" s="26">
        <v>269886.25</v>
      </c>
      <c r="J6" s="26">
        <v>32386.349999999995</v>
      </c>
      <c r="K6" s="26">
        <v>2024.1468749999997</v>
      </c>
      <c r="L6" s="26">
        <v>200</v>
      </c>
      <c r="M6" s="26">
        <v>233275.75312500005</v>
      </c>
      <c r="N6" s="26">
        <v>0</v>
      </c>
      <c r="O6" s="27">
        <v>43204.625</v>
      </c>
      <c r="P6" s="27">
        <v>1156.5</v>
      </c>
      <c r="Q6" s="26">
        <v>44368.125</v>
      </c>
      <c r="R6" s="27">
        <v>2320</v>
      </c>
      <c r="S6" s="27">
        <v>2000</v>
      </c>
      <c r="T6" s="26">
        <v>0</v>
      </c>
      <c r="U6" s="28">
        <v>0</v>
      </c>
      <c r="V6" s="28">
        <v>0</v>
      </c>
      <c r="W6" s="26">
        <v>272203.5</v>
      </c>
      <c r="X6" s="28">
        <v>0</v>
      </c>
      <c r="Y6" s="26">
        <v>-2317.25</v>
      </c>
      <c r="Z6" s="29">
        <v>0</v>
      </c>
    </row>
    <row r="7" spans="1:26" ht="30" customHeight="1" x14ac:dyDescent="0.2">
      <c r="A7" s="14">
        <v>5</v>
      </c>
      <c r="B7" s="14"/>
      <c r="C7" s="14"/>
      <c r="D7" s="15" t="s">
        <v>33</v>
      </c>
      <c r="E7" s="14"/>
      <c r="F7" s="14"/>
      <c r="G7" s="14"/>
      <c r="H7" s="26"/>
      <c r="I7" s="26">
        <v>247269</v>
      </c>
      <c r="J7" s="26">
        <v>29672.28000000001</v>
      </c>
      <c r="K7" s="26">
        <v>1854.5175000000006</v>
      </c>
      <c r="L7" s="26">
        <v>0</v>
      </c>
      <c r="M7" s="26">
        <v>215742.20250000001</v>
      </c>
      <c r="N7" s="26">
        <v>0</v>
      </c>
      <c r="O7" s="27">
        <v>33897.75</v>
      </c>
      <c r="P7" s="27">
        <v>616</v>
      </c>
      <c r="Q7" s="26">
        <v>35814.75</v>
      </c>
      <c r="R7" s="27">
        <v>2533</v>
      </c>
      <c r="S7" s="27">
        <v>0</v>
      </c>
      <c r="T7" s="26">
        <v>0</v>
      </c>
      <c r="U7" s="28">
        <v>0</v>
      </c>
      <c r="V7" s="28">
        <v>0</v>
      </c>
      <c r="W7" s="26">
        <v>249737</v>
      </c>
      <c r="X7" s="28">
        <v>0</v>
      </c>
      <c r="Y7" s="26">
        <v>-2468</v>
      </c>
      <c r="Z7" s="29">
        <v>0</v>
      </c>
    </row>
    <row r="8" spans="1:26" ht="30" customHeight="1" x14ac:dyDescent="0.2">
      <c r="A8" s="14">
        <v>6</v>
      </c>
      <c r="B8" s="14"/>
      <c r="C8" s="14"/>
      <c r="D8" s="15" t="s">
        <v>34</v>
      </c>
      <c r="E8" s="14"/>
      <c r="F8" s="14"/>
      <c r="G8" s="14"/>
      <c r="H8" s="26"/>
      <c r="I8" s="26">
        <v>202452.25</v>
      </c>
      <c r="J8" s="26">
        <v>24294.270000000004</v>
      </c>
      <c r="K8" s="26">
        <v>1518.3918750000003</v>
      </c>
      <c r="L8" s="26">
        <v>0</v>
      </c>
      <c r="M8" s="26">
        <v>176639.58812499998</v>
      </c>
      <c r="N8" s="26">
        <v>0</v>
      </c>
      <c r="O8" s="27">
        <v>24059.5</v>
      </c>
      <c r="P8" s="27">
        <v>1604.5625</v>
      </c>
      <c r="Q8" s="26">
        <v>25355.9375</v>
      </c>
      <c r="R8" s="27">
        <v>2901</v>
      </c>
      <c r="S8" s="27">
        <v>0</v>
      </c>
      <c r="T8" s="26">
        <v>0</v>
      </c>
      <c r="U8" s="28">
        <v>0</v>
      </c>
      <c r="V8" s="28">
        <v>0</v>
      </c>
      <c r="W8" s="26">
        <v>205325.5</v>
      </c>
      <c r="X8" s="28">
        <v>0</v>
      </c>
      <c r="Y8" s="26">
        <v>-2873.25</v>
      </c>
      <c r="Z8" s="29">
        <v>0</v>
      </c>
    </row>
    <row r="9" spans="1:26" ht="30" customHeight="1" x14ac:dyDescent="0.2">
      <c r="A9" s="14">
        <v>7</v>
      </c>
      <c r="B9" s="14"/>
      <c r="C9" s="14"/>
      <c r="D9" s="15" t="s">
        <v>43</v>
      </c>
      <c r="E9" s="14"/>
      <c r="F9" s="14"/>
      <c r="G9" s="14"/>
      <c r="H9" s="26"/>
      <c r="I9" s="26">
        <v>79329.25</v>
      </c>
      <c r="J9" s="26">
        <v>9519.51</v>
      </c>
      <c r="K9" s="26">
        <v>594.96937500000001</v>
      </c>
      <c r="L9" s="26">
        <v>0</v>
      </c>
      <c r="M9" s="26">
        <v>69214.77062499999</v>
      </c>
      <c r="N9" s="26">
        <v>0</v>
      </c>
      <c r="O9" s="27">
        <v>11395</v>
      </c>
      <c r="P9" s="27">
        <v>450</v>
      </c>
      <c r="Q9" s="26">
        <v>11991</v>
      </c>
      <c r="R9" s="27">
        <v>1046</v>
      </c>
      <c r="S9" s="27">
        <v>0</v>
      </c>
      <c r="T9" s="26">
        <v>0</v>
      </c>
      <c r="U9" s="28">
        <v>0</v>
      </c>
      <c r="V9" s="28">
        <v>0</v>
      </c>
      <c r="W9" s="28">
        <v>80340</v>
      </c>
      <c r="X9" s="28">
        <v>0</v>
      </c>
      <c r="Y9" s="28">
        <v>-1010.75</v>
      </c>
      <c r="Z9" s="29">
        <v>0</v>
      </c>
    </row>
    <row r="10" spans="1:26" ht="30" customHeight="1" x14ac:dyDescent="0.2">
      <c r="A10" s="14">
        <v>8</v>
      </c>
      <c r="B10" s="14"/>
      <c r="C10" s="14"/>
      <c r="D10" s="15" t="s">
        <v>35</v>
      </c>
      <c r="E10" s="14"/>
      <c r="F10" s="14"/>
      <c r="G10" s="14"/>
      <c r="H10" s="26"/>
      <c r="I10" s="26">
        <v>59240</v>
      </c>
      <c r="J10" s="26">
        <v>0</v>
      </c>
      <c r="K10" s="26">
        <v>0</v>
      </c>
      <c r="L10" s="26">
        <v>0</v>
      </c>
      <c r="M10" s="26">
        <v>0</v>
      </c>
      <c r="N10" s="26">
        <v>59240</v>
      </c>
      <c r="O10" s="27">
        <v>3759.375</v>
      </c>
      <c r="P10" s="27">
        <v>597.5</v>
      </c>
      <c r="Q10" s="26">
        <v>3161.875</v>
      </c>
      <c r="R10" s="27">
        <v>0</v>
      </c>
      <c r="S10" s="27">
        <v>0</v>
      </c>
      <c r="T10" s="26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9">
        <v>0</v>
      </c>
    </row>
    <row r="11" spans="1:26" ht="30" customHeight="1" x14ac:dyDescent="0.2">
      <c r="A11" s="14">
        <v>9</v>
      </c>
      <c r="B11" s="14"/>
      <c r="C11" s="14"/>
      <c r="D11" s="15" t="s">
        <v>22</v>
      </c>
      <c r="E11" s="14"/>
      <c r="F11" s="14"/>
      <c r="G11" s="14"/>
      <c r="H11" s="26"/>
      <c r="I11" s="26">
        <v>129740</v>
      </c>
      <c r="J11" s="26">
        <v>0</v>
      </c>
      <c r="K11" s="26">
        <v>0</v>
      </c>
      <c r="L11" s="26">
        <v>0</v>
      </c>
      <c r="M11" s="26">
        <v>129740</v>
      </c>
      <c r="N11" s="26">
        <v>0</v>
      </c>
      <c r="O11" s="27">
        <v>11762.1875</v>
      </c>
      <c r="P11" s="27">
        <v>1184.0625</v>
      </c>
      <c r="Q11" s="26">
        <v>10578.125</v>
      </c>
      <c r="R11" s="27">
        <v>0</v>
      </c>
      <c r="S11" s="27">
        <v>0</v>
      </c>
      <c r="T11" s="26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9">
        <v>0</v>
      </c>
    </row>
    <row r="12" spans="1:26" ht="30" customHeight="1" x14ac:dyDescent="0.2">
      <c r="A12" s="14">
        <v>10</v>
      </c>
      <c r="B12" s="14"/>
      <c r="C12" s="14"/>
      <c r="D12" s="15" t="s">
        <v>23</v>
      </c>
      <c r="E12" s="14"/>
      <c r="F12" s="14"/>
      <c r="G12" s="14"/>
      <c r="H12" s="26"/>
      <c r="I12" s="26">
        <v>118208.33333333333</v>
      </c>
      <c r="J12" s="26">
        <v>0</v>
      </c>
      <c r="K12" s="26">
        <v>0</v>
      </c>
      <c r="L12" s="26">
        <v>0</v>
      </c>
      <c r="M12" s="26">
        <v>118208.33333333333</v>
      </c>
      <c r="N12" s="26">
        <v>0</v>
      </c>
      <c r="O12" s="27">
        <v>2068.75</v>
      </c>
      <c r="P12" s="27">
        <v>527.08333333333337</v>
      </c>
      <c r="Q12" s="26">
        <v>1541.6666666666665</v>
      </c>
      <c r="R12" s="27">
        <v>0</v>
      </c>
      <c r="S12" s="27">
        <v>0</v>
      </c>
      <c r="T12" s="26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9">
        <v>0</v>
      </c>
    </row>
    <row r="13" spans="1:26" ht="30" customHeight="1" x14ac:dyDescent="0.2">
      <c r="A13" s="14">
        <v>11</v>
      </c>
      <c r="B13" s="14"/>
      <c r="C13" s="14"/>
      <c r="D13" s="15" t="s">
        <v>36</v>
      </c>
      <c r="E13" s="14"/>
      <c r="F13" s="14"/>
      <c r="G13" s="14"/>
      <c r="H13" s="26"/>
      <c r="I13" s="26">
        <v>118581</v>
      </c>
      <c r="J13" s="26">
        <v>0</v>
      </c>
      <c r="K13" s="26">
        <v>0</v>
      </c>
      <c r="L13" s="26">
        <v>0</v>
      </c>
      <c r="M13" s="26">
        <v>118581</v>
      </c>
      <c r="N13" s="26">
        <v>0</v>
      </c>
      <c r="O13" s="27">
        <v>10460.875</v>
      </c>
      <c r="P13" s="27">
        <v>522.5</v>
      </c>
      <c r="Q13" s="26">
        <v>9938.375</v>
      </c>
      <c r="R13" s="27">
        <v>0</v>
      </c>
      <c r="S13" s="27">
        <v>0</v>
      </c>
      <c r="T13" s="26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9">
        <v>0</v>
      </c>
    </row>
    <row r="14" spans="1:26" ht="30" customHeight="1" x14ac:dyDescent="0.2">
      <c r="A14" s="14">
        <v>12</v>
      </c>
      <c r="B14" s="14"/>
      <c r="C14" s="14"/>
      <c r="D14" s="15" t="s">
        <v>37</v>
      </c>
      <c r="E14" s="14"/>
      <c r="F14" s="14"/>
      <c r="G14" s="14"/>
      <c r="H14" s="26"/>
      <c r="I14" s="26">
        <v>244232.85714285713</v>
      </c>
      <c r="J14" s="26">
        <v>0</v>
      </c>
      <c r="K14" s="26">
        <v>0</v>
      </c>
      <c r="L14" s="26">
        <v>0</v>
      </c>
      <c r="M14" s="26">
        <v>228239.85714285713</v>
      </c>
      <c r="N14" s="26">
        <v>0</v>
      </c>
      <c r="O14" s="27">
        <v>0</v>
      </c>
      <c r="P14" s="27">
        <v>0</v>
      </c>
      <c r="Q14" s="26">
        <v>0</v>
      </c>
      <c r="R14" s="27">
        <v>0</v>
      </c>
      <c r="S14" s="27">
        <v>15993</v>
      </c>
      <c r="T14" s="26">
        <v>68400</v>
      </c>
      <c r="U14" s="28">
        <v>0</v>
      </c>
      <c r="V14" s="28">
        <v>0</v>
      </c>
      <c r="W14" s="28">
        <v>0</v>
      </c>
      <c r="X14" s="28">
        <v>0</v>
      </c>
      <c r="Y14" s="28">
        <v>11</v>
      </c>
      <c r="Z14" s="29">
        <v>0</v>
      </c>
    </row>
    <row r="15" spans="1:26" ht="30" customHeight="1" x14ac:dyDescent="0.2">
      <c r="A15" s="14">
        <v>13</v>
      </c>
      <c r="B15" s="14"/>
      <c r="C15" s="14"/>
      <c r="D15" s="15" t="s">
        <v>38</v>
      </c>
      <c r="E15" s="14"/>
      <c r="F15" s="14"/>
      <c r="G15" s="14"/>
      <c r="H15" s="26">
        <v>1221270.833333333</v>
      </c>
      <c r="I15" s="26">
        <v>1338406.25</v>
      </c>
      <c r="J15" s="26">
        <v>50272.65</v>
      </c>
      <c r="K15" s="26">
        <v>0</v>
      </c>
      <c r="L15" s="26">
        <v>5800</v>
      </c>
      <c r="M15" s="26">
        <v>1141833.6000000001</v>
      </c>
      <c r="N15" s="26">
        <v>0</v>
      </c>
      <c r="O15" s="27">
        <v>35713.749999999993</v>
      </c>
      <c r="P15" s="27">
        <v>0</v>
      </c>
      <c r="Q15" s="26">
        <v>36653.749999999993</v>
      </c>
      <c r="R15" s="27">
        <v>940</v>
      </c>
      <c r="S15" s="27">
        <v>108000</v>
      </c>
      <c r="T15" s="26">
        <v>0</v>
      </c>
      <c r="U15" s="28"/>
      <c r="V15" s="28"/>
      <c r="W15" s="28"/>
      <c r="X15" s="28"/>
      <c r="Y15" s="28"/>
      <c r="Z15" s="29"/>
    </row>
    <row r="16" spans="1:26" ht="30" customHeight="1" x14ac:dyDescent="0.2">
      <c r="A16" s="14">
        <v>14</v>
      </c>
      <c r="B16" s="14"/>
      <c r="C16" s="14"/>
      <c r="D16" s="15" t="s">
        <v>39</v>
      </c>
      <c r="E16" s="14"/>
      <c r="F16" s="14"/>
      <c r="G16" s="14"/>
      <c r="H16" s="26">
        <v>868589.58333333349</v>
      </c>
      <c r="I16" s="26">
        <v>936256.25000000012</v>
      </c>
      <c r="J16" s="26">
        <v>43867.05</v>
      </c>
      <c r="K16" s="26">
        <v>0</v>
      </c>
      <c r="L16" s="26">
        <v>5200</v>
      </c>
      <c r="M16" s="26">
        <v>833189.20000000007</v>
      </c>
      <c r="N16" s="26">
        <v>0</v>
      </c>
      <c r="O16" s="27">
        <v>20778.75</v>
      </c>
      <c r="P16" s="27">
        <v>0</v>
      </c>
      <c r="Q16" s="26">
        <v>21278.75</v>
      </c>
      <c r="R16" s="27">
        <v>500</v>
      </c>
      <c r="S16" s="27">
        <v>54000</v>
      </c>
      <c r="T16" s="26">
        <v>0</v>
      </c>
      <c r="U16" s="28"/>
      <c r="V16" s="28"/>
      <c r="W16" s="28"/>
      <c r="X16" s="28"/>
      <c r="Y16" s="28"/>
      <c r="Z16" s="29"/>
    </row>
    <row r="17" spans="1:27" ht="30" customHeight="1" x14ac:dyDescent="0.2">
      <c r="A17" s="14">
        <v>15</v>
      </c>
      <c r="B17" s="14"/>
      <c r="C17" s="14"/>
      <c r="D17" s="15" t="s">
        <v>40</v>
      </c>
      <c r="E17" s="14"/>
      <c r="F17" s="14"/>
      <c r="G17" s="14"/>
      <c r="H17" s="26">
        <v>334283.33333333331</v>
      </c>
      <c r="I17" s="26">
        <v>359402.08333333343</v>
      </c>
      <c r="J17" s="26">
        <v>28661.850000000002</v>
      </c>
      <c r="K17" s="26">
        <v>2507.125</v>
      </c>
      <c r="L17" s="26">
        <v>4200</v>
      </c>
      <c r="M17" s="26">
        <v>319033.1083333334</v>
      </c>
      <c r="N17" s="26">
        <v>0</v>
      </c>
      <c r="O17" s="27">
        <v>13155.833333333332</v>
      </c>
      <c r="P17" s="27">
        <v>0</v>
      </c>
      <c r="Q17" s="26">
        <v>13155.833333333332</v>
      </c>
      <c r="R17" s="27">
        <v>0</v>
      </c>
      <c r="S17" s="27">
        <v>5000</v>
      </c>
      <c r="T17" s="26">
        <v>2500</v>
      </c>
      <c r="U17" s="28"/>
      <c r="V17" s="28"/>
      <c r="W17" s="28"/>
      <c r="X17" s="28"/>
      <c r="Y17" s="28"/>
      <c r="Z17" s="29"/>
    </row>
    <row r="18" spans="1:27" ht="30" customHeight="1" x14ac:dyDescent="0.2">
      <c r="A18" s="14">
        <v>16</v>
      </c>
      <c r="B18" s="14"/>
      <c r="C18" s="14"/>
      <c r="D18" s="15" t="s">
        <v>41</v>
      </c>
      <c r="E18" s="14"/>
      <c r="F18" s="14"/>
      <c r="G18" s="14"/>
      <c r="H18" s="26">
        <v>598875</v>
      </c>
      <c r="I18" s="26">
        <v>610000</v>
      </c>
      <c r="J18" s="26">
        <v>0</v>
      </c>
      <c r="K18" s="26">
        <v>0</v>
      </c>
      <c r="L18" s="26">
        <v>1200</v>
      </c>
      <c r="M18" s="26">
        <v>498800</v>
      </c>
      <c r="N18" s="26">
        <v>0</v>
      </c>
      <c r="O18" s="27">
        <v>0</v>
      </c>
      <c r="P18" s="27">
        <v>0</v>
      </c>
      <c r="Q18" s="26">
        <v>0</v>
      </c>
      <c r="R18" s="27">
        <v>0</v>
      </c>
      <c r="S18" s="27">
        <v>10000</v>
      </c>
      <c r="T18" s="26">
        <v>56100</v>
      </c>
      <c r="U18" s="28"/>
      <c r="V18" s="28"/>
      <c r="W18" s="28"/>
      <c r="X18" s="28"/>
      <c r="Y18" s="28"/>
      <c r="Z18" s="29"/>
    </row>
    <row r="19" spans="1:27" s="23" customFormat="1" ht="22.5" customHeight="1" x14ac:dyDescent="0.2">
      <c r="A19" s="42"/>
      <c r="B19" s="42"/>
      <c r="C19" s="42"/>
      <c r="D19" s="16" t="s">
        <v>42</v>
      </c>
      <c r="E19" s="42"/>
      <c r="F19" s="42"/>
      <c r="G19" s="42"/>
      <c r="H19" s="17">
        <v>3023018.75</v>
      </c>
      <c r="I19" s="18">
        <v>5371405.0238095233</v>
      </c>
      <c r="J19" s="18">
        <v>296616.65999999997</v>
      </c>
      <c r="K19" s="18">
        <v>13437.161875000002</v>
      </c>
      <c r="L19" s="18">
        <v>18400</v>
      </c>
      <c r="M19" s="18">
        <v>4615767.2019345239</v>
      </c>
      <c r="N19" s="18">
        <v>59240</v>
      </c>
      <c r="O19" s="19">
        <v>336542.58333333331</v>
      </c>
      <c r="P19" s="19">
        <v>25173.645833333332</v>
      </c>
      <c r="Q19" s="18">
        <v>325936.93749999994</v>
      </c>
      <c r="R19" s="19">
        <v>14568</v>
      </c>
      <c r="S19" s="18">
        <v>235444</v>
      </c>
      <c r="T19" s="18">
        <v>127000</v>
      </c>
      <c r="U19" s="20"/>
      <c r="V19" s="20"/>
      <c r="W19" s="18">
        <v>1470258.5</v>
      </c>
      <c r="X19" s="21"/>
      <c r="Y19" s="18">
        <v>-12909.25</v>
      </c>
      <c r="Z19" s="6"/>
      <c r="AA19" s="22"/>
    </row>
    <row r="20" spans="1:27" ht="22.5" customHeight="1" x14ac:dyDescent="0.2">
      <c r="A20" s="30"/>
      <c r="B20" s="30"/>
      <c r="C20" s="30"/>
      <c r="D20" s="31"/>
      <c r="E20" s="30"/>
      <c r="F20" s="30"/>
      <c r="G20" s="30"/>
      <c r="H20" s="30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23"/>
      <c r="W20" s="23"/>
      <c r="X20" s="33"/>
      <c r="Y20" s="23"/>
      <c r="Z20" s="34"/>
    </row>
    <row r="21" spans="1:27" ht="22.5" customHeight="1" x14ac:dyDescent="0.2">
      <c r="A21" s="31"/>
      <c r="B21" s="31"/>
      <c r="C21" s="31"/>
      <c r="D21" s="31"/>
      <c r="E21" s="31"/>
      <c r="F21" s="31"/>
      <c r="G21" s="31"/>
      <c r="H21" s="31"/>
      <c r="I21" s="36"/>
      <c r="J21" s="24"/>
      <c r="K21" s="36"/>
      <c r="L21" s="25"/>
      <c r="M21" s="31"/>
      <c r="N21" s="31"/>
      <c r="O21" s="31"/>
      <c r="P21" s="32"/>
      <c r="Q21" s="24"/>
      <c r="R21" s="24"/>
      <c r="S21" s="24"/>
      <c r="T21" s="24"/>
      <c r="X21" s="37"/>
      <c r="Z21" s="38"/>
    </row>
    <row r="22" spans="1:27" ht="22.5" customHeight="1" x14ac:dyDescent="0.2">
      <c r="A22" s="31"/>
      <c r="B22" s="31"/>
      <c r="C22" s="31"/>
      <c r="D22" s="31"/>
      <c r="E22" s="31"/>
      <c r="F22" s="31"/>
      <c r="G22" s="31"/>
      <c r="H22" s="31"/>
      <c r="I22" s="36"/>
      <c r="J22" s="24"/>
      <c r="K22" s="36"/>
      <c r="L22" s="25"/>
      <c r="M22" s="31"/>
      <c r="N22" s="31"/>
      <c r="O22" s="31"/>
      <c r="P22" s="32"/>
      <c r="Q22" s="24"/>
      <c r="R22" s="24"/>
      <c r="S22" s="24"/>
      <c r="T22" s="24"/>
      <c r="X22" s="37"/>
      <c r="Z22" s="38"/>
    </row>
    <row r="23" spans="1:27" ht="22.5" customHeight="1" x14ac:dyDescent="0.2">
      <c r="A23" s="31"/>
      <c r="B23" s="31"/>
      <c r="C23" s="31"/>
      <c r="D23" s="31"/>
      <c r="E23" s="31"/>
      <c r="F23" s="31"/>
      <c r="G23" s="31"/>
      <c r="H23" s="31"/>
      <c r="I23" s="36"/>
      <c r="J23" s="24"/>
      <c r="K23" s="36"/>
      <c r="L23" s="25"/>
      <c r="M23" s="31"/>
      <c r="N23" s="31"/>
      <c r="O23" s="31"/>
      <c r="P23" s="39"/>
      <c r="Q23" s="24"/>
      <c r="R23" s="39"/>
      <c r="S23" s="39"/>
      <c r="T23" s="39"/>
      <c r="X23" s="37"/>
      <c r="Z23" s="38"/>
    </row>
    <row r="24" spans="1:27" ht="22.5" customHeight="1" x14ac:dyDescent="0.2">
      <c r="A24" s="31"/>
      <c r="B24" s="31"/>
      <c r="C24" s="31"/>
      <c r="D24" s="31"/>
      <c r="E24" s="31"/>
      <c r="F24" s="31"/>
      <c r="G24" s="31"/>
      <c r="H24" s="31"/>
      <c r="I24" s="36"/>
      <c r="J24" s="24"/>
      <c r="K24" s="36"/>
      <c r="L24" s="25"/>
      <c r="M24" s="24"/>
      <c r="N24" s="24"/>
      <c r="O24" s="24"/>
      <c r="P24" s="24"/>
      <c r="Q24" s="24"/>
      <c r="R24" s="24"/>
      <c r="S24" s="24"/>
      <c r="T24" s="24"/>
      <c r="X24" s="37"/>
      <c r="Z24" s="38"/>
    </row>
    <row r="25" spans="1:27" ht="22.5" customHeight="1" x14ac:dyDescent="0.2">
      <c r="A25" s="25"/>
      <c r="B25" s="25"/>
      <c r="C25" s="25"/>
      <c r="D25" s="35"/>
      <c r="E25" s="25"/>
      <c r="F25" s="25"/>
      <c r="G25" s="25"/>
      <c r="H25" s="25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X25" s="37"/>
      <c r="Z25" s="38"/>
    </row>
  </sheetData>
  <mergeCells count="2">
    <mergeCell ref="A1:I1"/>
    <mergeCell ref="R1:V1"/>
  </mergeCells>
  <conditionalFormatting sqref="D13">
    <cfRule type="duplicateValues" dxfId="5" priority="51"/>
  </conditionalFormatting>
  <conditionalFormatting sqref="D14">
    <cfRule type="duplicateValues" dxfId="4" priority="50"/>
  </conditionalFormatting>
  <conditionalFormatting sqref="D20:D1048576 D15:D18 D1:D12">
    <cfRule type="duplicateValues" dxfId="3" priority="53"/>
  </conditionalFormatting>
  <conditionalFormatting sqref="D20:D1048576 D1:D18">
    <cfRule type="duplicateValues" dxfId="2" priority="56"/>
  </conditionalFormatting>
  <conditionalFormatting sqref="D19">
    <cfRule type="duplicateValues" dxfId="1" priority="1"/>
  </conditionalFormatting>
  <conditionalFormatting sqref="D1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2026-03-03T04:28:57Z</dcterms:modified>
</cp:coreProperties>
</file>